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torage/Labs/Farber_Lab/Farber_Lab_Public/snRNA-seq/Atlas Paper figures/Figure 2 UMAP/Background/1.QC and RPCA integration/"/>
    </mc:Choice>
  </mc:AlternateContent>
  <xr:revisionPtr revIDLastSave="0" documentId="13_ncr:1_{2A91FBE3-03CF-FA46-BBBA-50D33925048C}" xr6:coauthVersionLast="47" xr6:coauthVersionMax="47" xr10:uidLastSave="{00000000-0000-0000-0000-000000000000}"/>
  <bookViews>
    <workbookView xWindow="5980" yWindow="1700" windowWidth="28040" windowHeight="17440" xr2:uid="{1650255C-E1E8-8846-ACA3-223A9FDA3FB3}"/>
  </bookViews>
  <sheets>
    <sheet name="Nuclei stat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2" l="1"/>
  <c r="L20" i="2"/>
  <c r="L17" i="2"/>
  <c r="M17" i="2"/>
  <c r="N17" i="2"/>
  <c r="AF17" i="2"/>
  <c r="N20" i="2"/>
  <c r="M20" i="2"/>
  <c r="K20" i="2"/>
  <c r="N19" i="2"/>
  <c r="M19" i="2"/>
  <c r="K19" i="2"/>
  <c r="K18" i="2"/>
  <c r="K17" i="2"/>
  <c r="K29" i="2"/>
  <c r="L29" i="2"/>
  <c r="M29" i="2"/>
  <c r="N29" i="2"/>
  <c r="J29" i="2"/>
  <c r="G56" i="2"/>
  <c r="F56" i="2"/>
  <c r="E56" i="2"/>
  <c r="D56" i="2"/>
  <c r="G55" i="2"/>
  <c r="F55" i="2"/>
  <c r="E55" i="2"/>
  <c r="D55" i="2"/>
  <c r="G54" i="2"/>
  <c r="F54" i="2"/>
  <c r="E54" i="2"/>
  <c r="D54" i="2"/>
  <c r="G53" i="2"/>
  <c r="F53" i="2"/>
  <c r="E53" i="2"/>
  <c r="D53" i="2"/>
  <c r="G50" i="2"/>
  <c r="F50" i="2"/>
  <c r="E50" i="2"/>
  <c r="D50" i="2"/>
  <c r="G49" i="2"/>
  <c r="F49" i="2"/>
  <c r="E49" i="2"/>
  <c r="D49" i="2"/>
  <c r="G48" i="2"/>
  <c r="F48" i="2"/>
  <c r="E48" i="2"/>
  <c r="D48" i="2"/>
  <c r="G47" i="2"/>
  <c r="F47" i="2"/>
  <c r="E47" i="2"/>
  <c r="D47" i="2"/>
  <c r="G44" i="2"/>
  <c r="F44" i="2"/>
  <c r="E44" i="2"/>
  <c r="D44" i="2"/>
  <c r="G43" i="2"/>
  <c r="F43" i="2"/>
  <c r="E43" i="2"/>
  <c r="D43" i="2"/>
  <c r="G42" i="2"/>
  <c r="F42" i="2"/>
  <c r="E42" i="2"/>
  <c r="D42" i="2"/>
  <c r="G41" i="2"/>
  <c r="F41" i="2"/>
  <c r="E41" i="2"/>
  <c r="D41" i="2"/>
  <c r="G38" i="2"/>
  <c r="F38" i="2"/>
  <c r="E38" i="2"/>
  <c r="D38" i="2"/>
  <c r="G37" i="2"/>
  <c r="F37" i="2"/>
  <c r="E37" i="2"/>
  <c r="D37" i="2"/>
  <c r="G36" i="2"/>
  <c r="F36" i="2"/>
  <c r="E36" i="2"/>
  <c r="D36" i="2"/>
  <c r="G35" i="2"/>
  <c r="F35" i="2"/>
  <c r="E35" i="2"/>
  <c r="D35" i="2"/>
  <c r="G32" i="2"/>
  <c r="G31" i="2"/>
  <c r="G30" i="2"/>
  <c r="G29" i="2"/>
  <c r="F32" i="2"/>
  <c r="F31" i="2"/>
  <c r="F30" i="2"/>
  <c r="F29" i="2"/>
  <c r="E32" i="2"/>
  <c r="E31" i="2"/>
  <c r="E30" i="2"/>
  <c r="E29" i="2"/>
  <c r="D32" i="2"/>
  <c r="D31" i="2"/>
  <c r="D30" i="2"/>
  <c r="D29" i="2"/>
  <c r="G26" i="2"/>
  <c r="F26" i="2"/>
  <c r="E26" i="2"/>
  <c r="D26" i="2"/>
  <c r="G25" i="2"/>
  <c r="F25" i="2"/>
  <c r="E25" i="2"/>
  <c r="D25" i="2"/>
  <c r="G24" i="2"/>
  <c r="F24" i="2"/>
  <c r="E24" i="2"/>
  <c r="D24" i="2"/>
  <c r="G23" i="2"/>
  <c r="F23" i="2"/>
  <c r="E23" i="2"/>
  <c r="D23" i="2"/>
  <c r="C23" i="2"/>
  <c r="C56" i="2"/>
  <c r="C55" i="2"/>
  <c r="C54" i="2"/>
  <c r="C53" i="2"/>
  <c r="C50" i="2"/>
  <c r="C49" i="2"/>
  <c r="C48" i="2"/>
  <c r="C47" i="2"/>
  <c r="C44" i="2"/>
  <c r="C43" i="2"/>
  <c r="C42" i="2"/>
  <c r="C41" i="2"/>
  <c r="C38" i="2"/>
  <c r="C37" i="2"/>
  <c r="C35" i="2"/>
  <c r="C36" i="2"/>
  <c r="C32" i="2"/>
  <c r="C31" i="2"/>
  <c r="C30" i="2"/>
  <c r="C29" i="2"/>
  <c r="C26" i="2"/>
  <c r="C25" i="2"/>
  <c r="C24" i="2"/>
  <c r="G20" i="2"/>
  <c r="G19" i="2"/>
  <c r="G17" i="2"/>
  <c r="F20" i="2"/>
  <c r="F19" i="2"/>
  <c r="F17" i="2"/>
  <c r="E20" i="2"/>
  <c r="E19" i="2"/>
  <c r="E17" i="2"/>
  <c r="D20" i="2"/>
  <c r="D19" i="2"/>
  <c r="D17" i="2"/>
  <c r="C20" i="2"/>
  <c r="C19" i="2"/>
  <c r="C18" i="2"/>
  <c r="C17" i="2"/>
</calcChain>
</file>

<file path=xl/sharedStrings.xml><?xml version="1.0" encoding="utf-8"?>
<sst xmlns="http://schemas.openxmlformats.org/spreadsheetml/2006/main" count="263" uniqueCount="83">
  <si>
    <t>Sample</t>
  </si>
  <si>
    <t>MB1</t>
  </si>
  <si>
    <t>MB2</t>
  </si>
  <si>
    <t>MB3</t>
  </si>
  <si>
    <t>MB4</t>
  </si>
  <si>
    <t>MB6</t>
  </si>
  <si>
    <t>MB5</t>
  </si>
  <si>
    <t>MB7</t>
  </si>
  <si>
    <t>MB8</t>
  </si>
  <si>
    <t>MB9</t>
  </si>
  <si>
    <t>MB10</t>
  </si>
  <si>
    <t>MB11</t>
  </si>
  <si>
    <t>MB12</t>
  </si>
  <si>
    <t>MB13</t>
  </si>
  <si>
    <t>MB14</t>
  </si>
  <si>
    <t>MB15</t>
  </si>
  <si>
    <t>MB16</t>
  </si>
  <si>
    <t>MB17</t>
  </si>
  <si>
    <t>MB18</t>
  </si>
  <si>
    <t>MB19</t>
  </si>
  <si>
    <t>MB20</t>
  </si>
  <si>
    <t>MB21</t>
  </si>
  <si>
    <t>MB22</t>
  </si>
  <si>
    <t>MB24</t>
  </si>
  <si>
    <t>MB23</t>
  </si>
  <si>
    <t>MB25</t>
  </si>
  <si>
    <t>MB26</t>
  </si>
  <si>
    <t>Cell Ranger Estimated Number of Cells (nuclei)</t>
  </si>
  <si>
    <t>Cell Ranger Median UMI Counts per Cell</t>
  </si>
  <si>
    <t>Cell Ranger Median Genes per Cell</t>
  </si>
  <si>
    <t>Cell Ranger Total Genes Detected</t>
  </si>
  <si>
    <t>avg</t>
  </si>
  <si>
    <t>total</t>
  </si>
  <si>
    <t>max</t>
  </si>
  <si>
    <t>min</t>
  </si>
  <si>
    <t>Unfed (0 min)</t>
  </si>
  <si>
    <t>Unfed (30 min)</t>
  </si>
  <si>
    <t>30 min HF</t>
  </si>
  <si>
    <t>1 hour HF</t>
  </si>
  <si>
    <t>2 hour HF</t>
  </si>
  <si>
    <t>4 hour HF</t>
  </si>
  <si>
    <t>15 min HF</t>
  </si>
  <si>
    <t>condition</t>
  </si>
  <si>
    <t>Cell Threshold Mean Reads per Cell</t>
  </si>
  <si>
    <t>unfed</t>
  </si>
  <si>
    <t>15min</t>
  </si>
  <si>
    <t>30 min</t>
  </si>
  <si>
    <t>1hr</t>
  </si>
  <si>
    <t>2hr</t>
  </si>
  <si>
    <t>4hr</t>
  </si>
  <si>
    <t>2h + 2h chase HF</t>
  </si>
  <si>
    <t>2h HF</t>
  </si>
  <si>
    <t>1h HF</t>
  </si>
  <si>
    <t>avg of averages</t>
  </si>
  <si>
    <t>total by condition</t>
  </si>
  <si>
    <t>count orig ident</t>
  </si>
  <si>
    <t>nCount_RNA</t>
  </si>
  <si>
    <t>nFeature_RNA</t>
  </si>
  <si>
    <t>Filtered number of cells (nuclei)</t>
  </si>
  <si>
    <t>orig.ident</t>
  </si>
  <si>
    <t>median_value</t>
  </si>
  <si>
    <t>total_value</t>
  </si>
  <si>
    <t>Filtered Median UMI Counts Cell</t>
  </si>
  <si>
    <t>Filtered Median Genes per Cell</t>
  </si>
  <si>
    <t>RNA.MB11</t>
  </si>
  <si>
    <t>RNA.MB12</t>
  </si>
  <si>
    <t>RNA.MB13</t>
  </si>
  <si>
    <t>RNA.MB14</t>
  </si>
  <si>
    <t>RNA.MB15</t>
  </si>
  <si>
    <t>RNA.MB16</t>
  </si>
  <si>
    <t>RNA.MB23</t>
  </si>
  <si>
    <t>RNA.MB24</t>
  </si>
  <si>
    <t>RNA.MB25</t>
  </si>
  <si>
    <t>RNA.MB26</t>
  </si>
  <si>
    <t>RNA.MB4</t>
  </si>
  <si>
    <t>RNA.MB5</t>
  </si>
  <si>
    <t>RNA.MB6</t>
  </si>
  <si>
    <t>RNA.MB9</t>
  </si>
  <si>
    <t>totals</t>
  </si>
  <si>
    <t>reads</t>
  </si>
  <si>
    <t>genes</t>
  </si>
  <si>
    <t>RNA.MB10</t>
  </si>
  <si>
    <t>Total Genes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</si>
</sst>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0"/>
      <color rgb="FF000000"/>
      <name val="Arial"/>
      <family val="2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rgb="FF000000"/>
      <name val="Lucida Sans"/>
      <family val="2"/>
    </font>
    <font>
      <sz val="11"/>
      <color rgb="FF000000"/>
      <name val="Lucida Sans"/>
      <family val="2"/>
    </font>
    <font>
      <sz val="9"/>
      <color rgb="FF000000"/>
      <name val="Lucida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3" fontId="0" fillId="0" borderId="0" xfId="0" applyNumberFormat="1"/>
    <xf numFmtId="3" fontId="2" fillId="0" borderId="0" xfId="0" applyNumberFormat="1" applyFont="1"/>
    <xf numFmtId="0" fontId="1" fillId="0" borderId="0" xfId="0" applyFont="1" applyAlignment="1">
      <alignment wrapText="1"/>
    </xf>
    <xf numFmtId="0" fontId="3" fillId="2" borderId="0" xfId="1" applyFill="1"/>
    <xf numFmtId="0" fontId="2" fillId="2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1" xfId="1" applyBorder="1"/>
    <xf numFmtId="3" fontId="2" fillId="0" borderId="1" xfId="0" applyNumberFormat="1" applyFont="1" applyBorder="1"/>
    <xf numFmtId="0" fontId="2" fillId="0" borderId="1" xfId="0" applyFont="1" applyBorder="1"/>
    <xf numFmtId="0" fontId="0" fillId="0" borderId="1" xfId="0" applyBorder="1"/>
    <xf numFmtId="3" fontId="5" fillId="0" borderId="0" xfId="0" applyNumberFormat="1" applyFont="1"/>
    <xf numFmtId="0" fontId="2" fillId="0" borderId="2" xfId="0" applyFont="1" applyBorder="1"/>
    <xf numFmtId="0" fontId="3" fillId="0" borderId="2" xfId="1" applyBorder="1"/>
    <xf numFmtId="3" fontId="2" fillId="0" borderId="2" xfId="0" applyNumberFormat="1" applyFont="1" applyBorder="1"/>
    <xf numFmtId="0" fontId="1" fillId="0" borderId="3" xfId="0" applyFont="1" applyBorder="1" applyAlignment="1">
      <alignment wrapText="1"/>
    </xf>
    <xf numFmtId="0" fontId="1" fillId="0" borderId="4" xfId="0" applyFont="1" applyBorder="1"/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2" fillId="0" borderId="6" xfId="0" applyFont="1" applyBorder="1"/>
    <xf numFmtId="3" fontId="2" fillId="0" borderId="7" xfId="0" applyNumberFormat="1" applyFont="1" applyBorder="1"/>
    <xf numFmtId="0" fontId="2" fillId="0" borderId="8" xfId="0" applyFont="1" applyBorder="1"/>
    <xf numFmtId="3" fontId="2" fillId="0" borderId="9" xfId="0" applyNumberFormat="1" applyFont="1" applyBorder="1"/>
    <xf numFmtId="0" fontId="4" fillId="0" borderId="8" xfId="0" applyFont="1" applyBorder="1"/>
    <xf numFmtId="0" fontId="2" fillId="0" borderId="10" xfId="0" applyFont="1" applyBorder="1"/>
    <xf numFmtId="0" fontId="3" fillId="0" borderId="11" xfId="1" applyBorder="1"/>
    <xf numFmtId="3" fontId="2" fillId="0" borderId="11" xfId="0" applyNumberFormat="1" applyFont="1" applyBorder="1"/>
    <xf numFmtId="0" fontId="2" fillId="0" borderId="11" xfId="0" applyFont="1" applyBorder="1"/>
    <xf numFmtId="3" fontId="2" fillId="0" borderId="12" xfId="0" applyNumberFormat="1" applyFont="1" applyBorder="1"/>
    <xf numFmtId="0" fontId="0" fillId="0" borderId="13" xfId="0" applyBorder="1"/>
    <xf numFmtId="1" fontId="0" fillId="0" borderId="0" xfId="0" applyNumberFormat="1"/>
    <xf numFmtId="1" fontId="5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8" fillId="0" borderId="0" xfId="0" applyFont="1"/>
    <xf numFmtId="1" fontId="10" fillId="0" borderId="1" xfId="0" applyNumberFormat="1" applyFont="1" applyBorder="1"/>
    <xf numFmtId="0" fontId="10" fillId="0" borderId="1" xfId="0" applyFont="1" applyBorder="1"/>
    <xf numFmtId="0" fontId="0" fillId="0" borderId="2" xfId="0" applyBorder="1"/>
    <xf numFmtId="1" fontId="10" fillId="0" borderId="2" xfId="0" applyNumberFormat="1" applyFont="1" applyBorder="1"/>
    <xf numFmtId="0" fontId="10" fillId="0" borderId="2" xfId="0" applyFont="1" applyBorder="1"/>
    <xf numFmtId="0" fontId="0" fillId="0" borderId="11" xfId="0" applyBorder="1"/>
    <xf numFmtId="1" fontId="10" fillId="0" borderId="11" xfId="0" applyNumberFormat="1" applyFont="1" applyBorder="1"/>
    <xf numFmtId="11" fontId="10" fillId="0" borderId="0" xfId="0" applyNumberFormat="1" applyFont="1"/>
    <xf numFmtId="11" fontId="0" fillId="0" borderId="0" xfId="0" applyNumberFormat="1"/>
    <xf numFmtId="0" fontId="0" fillId="0" borderId="9" xfId="0" applyBorder="1"/>
    <xf numFmtId="0" fontId="10" fillId="0" borderId="11" xfId="0" applyFont="1" applyBorder="1"/>
    <xf numFmtId="0" fontId="0" fillId="0" borderId="12" xfId="0" applyBorder="1"/>
    <xf numFmtId="0" fontId="0" fillId="0" borderId="7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basecaller.ciwemb.edu/10x/MB13_count/outs/web_summary.html" TargetMode="External"/><Relationship Id="rId13" Type="http://schemas.openxmlformats.org/officeDocument/2006/relationships/hyperlink" Target="http://basecaller.ciwemb.edu/10x/MB23_count/outs/web_summary.html" TargetMode="External"/><Relationship Id="rId3" Type="http://schemas.openxmlformats.org/officeDocument/2006/relationships/hyperlink" Target="http://basecaller.ciwemb.edu/10x/MB5_count/outs/web_summary.html" TargetMode="External"/><Relationship Id="rId7" Type="http://schemas.openxmlformats.org/officeDocument/2006/relationships/hyperlink" Target="http://basecaller.ciwemb.edu/10x/MB12_count/outs/web_summary.html" TargetMode="External"/><Relationship Id="rId12" Type="http://schemas.openxmlformats.org/officeDocument/2006/relationships/hyperlink" Target="http://basecaller.ciwemb.edu/10x/MB24_count/outs/web_summary.html" TargetMode="External"/><Relationship Id="rId2" Type="http://schemas.openxmlformats.org/officeDocument/2006/relationships/hyperlink" Target="http://basecaller.ciwemb.edu/10x/qc/MB6-12_count.GRCz11.Ensembl.103/outs/web_summary.html" TargetMode="External"/><Relationship Id="rId1" Type="http://schemas.openxmlformats.org/officeDocument/2006/relationships/hyperlink" Target="http://basecaller.ciwemb.edu/10x/MB4_count/outs/web_summary.html" TargetMode="External"/><Relationship Id="rId6" Type="http://schemas.openxmlformats.org/officeDocument/2006/relationships/hyperlink" Target="http://basecaller.ciwemb.edu/10x/MB11_count/outs/web_summary.html" TargetMode="External"/><Relationship Id="rId11" Type="http://schemas.openxmlformats.org/officeDocument/2006/relationships/hyperlink" Target="http://basecaller.ciwemb.edu/10x/MB16_count/outs/web_summary.html" TargetMode="External"/><Relationship Id="rId5" Type="http://schemas.openxmlformats.org/officeDocument/2006/relationships/hyperlink" Target="http://basecaller.ciwemb.edu/10x/MB10_count/outs/web_summary.html" TargetMode="External"/><Relationship Id="rId15" Type="http://schemas.openxmlformats.org/officeDocument/2006/relationships/hyperlink" Target="http://basecaller.ciwemb.edu/10x/MB26_count/outs/web_summary.html" TargetMode="External"/><Relationship Id="rId10" Type="http://schemas.openxmlformats.org/officeDocument/2006/relationships/hyperlink" Target="http://basecaller.ciwemb.edu/10x/MB15_count/outs/web_summary.html" TargetMode="External"/><Relationship Id="rId4" Type="http://schemas.openxmlformats.org/officeDocument/2006/relationships/hyperlink" Target="http://basecaller.ciwemb.edu/10x/MB9_count/outs/web_summary.html" TargetMode="External"/><Relationship Id="rId9" Type="http://schemas.openxmlformats.org/officeDocument/2006/relationships/hyperlink" Target="http://basecaller.ciwemb.edu/10x/MB14_count/outs/web_summary.html" TargetMode="External"/><Relationship Id="rId14" Type="http://schemas.openxmlformats.org/officeDocument/2006/relationships/hyperlink" Target="http://basecaller.ciwemb.edu/10x/MB25_count/outs/web_summary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basecaller.ciwemb.edu/10x/MB9_count/outs/web_summary.html" TargetMode="External"/><Relationship Id="rId13" Type="http://schemas.openxmlformats.org/officeDocument/2006/relationships/hyperlink" Target="http://basecaller.ciwemb.edu/10x/MB14_count/outs/web_summary.html" TargetMode="External"/><Relationship Id="rId18" Type="http://schemas.openxmlformats.org/officeDocument/2006/relationships/hyperlink" Target="http://basecaller.ciwemb.edu/10x/MB24_count/outs/web_summary.html" TargetMode="External"/><Relationship Id="rId3" Type="http://schemas.openxmlformats.org/officeDocument/2006/relationships/hyperlink" Target="http://basecaller.ciwemb.edu/10x/MB4_count/outs/web_summary.html" TargetMode="External"/><Relationship Id="rId21" Type="http://schemas.openxmlformats.org/officeDocument/2006/relationships/hyperlink" Target="http://basecaller.ciwemb.edu/10x/MB26_count/outs/web_summary.html" TargetMode="External"/><Relationship Id="rId7" Type="http://schemas.openxmlformats.org/officeDocument/2006/relationships/hyperlink" Target="http://basecaller.ciwemb.edu/10x/MB8_count/outs/web_summary.html" TargetMode="External"/><Relationship Id="rId12" Type="http://schemas.openxmlformats.org/officeDocument/2006/relationships/hyperlink" Target="http://basecaller.ciwemb.edu/10x/MB13_count/outs/web_summary.html" TargetMode="External"/><Relationship Id="rId17" Type="http://schemas.openxmlformats.org/officeDocument/2006/relationships/hyperlink" Target="http://basecaller.ciwemb.edu/10x/qc/MB22-1_count/outs/web_summary.html" TargetMode="External"/><Relationship Id="rId2" Type="http://schemas.openxmlformats.org/officeDocument/2006/relationships/hyperlink" Target="http://basecaller.ciwemb.edu/10x/MB3_count/outs/web_summary.html" TargetMode="External"/><Relationship Id="rId16" Type="http://schemas.openxmlformats.org/officeDocument/2006/relationships/hyperlink" Target="http://basecaller.ciwemb.edu/10x/qc/MB21-1_count/outs/web_summary.html" TargetMode="External"/><Relationship Id="rId20" Type="http://schemas.openxmlformats.org/officeDocument/2006/relationships/hyperlink" Target="http://basecaller.ciwemb.edu/10x/MB25_count/outs/web_summary.html" TargetMode="External"/><Relationship Id="rId1" Type="http://schemas.openxmlformats.org/officeDocument/2006/relationships/hyperlink" Target="http://basecaller.ciwemb.edu/10x/MB2_count/outs/web_summary.html" TargetMode="External"/><Relationship Id="rId6" Type="http://schemas.openxmlformats.org/officeDocument/2006/relationships/hyperlink" Target="http://basecaller.ciwemb.edu/10x/MB7_count/outs/web_summary.html" TargetMode="External"/><Relationship Id="rId11" Type="http://schemas.openxmlformats.org/officeDocument/2006/relationships/hyperlink" Target="http://basecaller.ciwemb.edu/10x/MB12_count/outs/web_summary.html" TargetMode="External"/><Relationship Id="rId5" Type="http://schemas.openxmlformats.org/officeDocument/2006/relationships/hyperlink" Target="http://basecaller.ciwemb.edu/10x/MB5_count/outs/web_summary.html" TargetMode="External"/><Relationship Id="rId15" Type="http://schemas.openxmlformats.org/officeDocument/2006/relationships/hyperlink" Target="http://basecaller.ciwemb.edu/10x/MB16_count/outs/web_summary.html" TargetMode="External"/><Relationship Id="rId10" Type="http://schemas.openxmlformats.org/officeDocument/2006/relationships/hyperlink" Target="http://basecaller.ciwemb.edu/10x/MB11_count/outs/web_summary.html" TargetMode="External"/><Relationship Id="rId19" Type="http://schemas.openxmlformats.org/officeDocument/2006/relationships/hyperlink" Target="http://basecaller.ciwemb.edu/10x/MB23_count/outs/web_summary.html" TargetMode="External"/><Relationship Id="rId4" Type="http://schemas.openxmlformats.org/officeDocument/2006/relationships/hyperlink" Target="http://basecaller.ciwemb.edu/10x/qc/MB6-12_count.GRCz11.Ensembl.103/outs/web_summary.html" TargetMode="External"/><Relationship Id="rId9" Type="http://schemas.openxmlformats.org/officeDocument/2006/relationships/hyperlink" Target="http://basecaller.ciwemb.edu/10x/MB10_count/outs/web_summary.html" TargetMode="External"/><Relationship Id="rId14" Type="http://schemas.openxmlformats.org/officeDocument/2006/relationships/hyperlink" Target="http://basecaller.ciwemb.edu/10x/MB15_count/outs/web_summa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3939-1B79-C64D-B866-CBDE3D09588C}">
  <dimension ref="A1:AK56"/>
  <sheetViews>
    <sheetView tabSelected="1" workbookViewId="0">
      <selection activeCell="D18" sqref="D18"/>
    </sheetView>
  </sheetViews>
  <sheetFormatPr baseColWidth="10" defaultRowHeight="16"/>
  <cols>
    <col min="1" max="1" width="18.83203125" customWidth="1"/>
    <col min="3" max="7" width="11.83203125" customWidth="1"/>
    <col min="9" max="9" width="19" customWidth="1"/>
    <col min="12" max="13" width="13.6640625" bestFit="1" customWidth="1"/>
  </cols>
  <sheetData>
    <row r="1" spans="1:37" ht="57" customHeight="1" thickBot="1">
      <c r="A1" s="20" t="s">
        <v>42</v>
      </c>
      <c r="B1" s="21" t="s">
        <v>0</v>
      </c>
      <c r="C1" s="22" t="s">
        <v>27</v>
      </c>
      <c r="D1" s="22" t="s">
        <v>43</v>
      </c>
      <c r="E1" s="22" t="s">
        <v>28</v>
      </c>
      <c r="F1" s="22" t="s">
        <v>29</v>
      </c>
      <c r="G1" s="23" t="s">
        <v>30</v>
      </c>
      <c r="I1" s="20" t="s">
        <v>42</v>
      </c>
      <c r="J1" s="21" t="s">
        <v>0</v>
      </c>
      <c r="K1" s="22" t="s">
        <v>58</v>
      </c>
      <c r="L1" s="22" t="s">
        <v>62</v>
      </c>
      <c r="M1" s="22" t="s">
        <v>63</v>
      </c>
      <c r="N1" s="23" t="s">
        <v>82</v>
      </c>
      <c r="U1" s="37" t="s">
        <v>59</v>
      </c>
      <c r="V1" s="37" t="s">
        <v>60</v>
      </c>
      <c r="W1" s="37" t="s">
        <v>61</v>
      </c>
      <c r="AA1" s="37" t="s">
        <v>59</v>
      </c>
      <c r="AB1" s="37" t="s">
        <v>60</v>
      </c>
      <c r="AC1" s="37" t="s">
        <v>61</v>
      </c>
      <c r="AD1" s="37"/>
      <c r="AE1" t="s">
        <v>78</v>
      </c>
      <c r="AF1" t="s">
        <v>79</v>
      </c>
      <c r="AG1" t="s">
        <v>80</v>
      </c>
      <c r="AJ1" t="s">
        <v>32</v>
      </c>
    </row>
    <row r="2" spans="1:37">
      <c r="A2" s="24" t="s">
        <v>35</v>
      </c>
      <c r="B2" s="18" t="s">
        <v>4</v>
      </c>
      <c r="C2" s="19">
        <v>15313</v>
      </c>
      <c r="D2" s="19">
        <v>34752</v>
      </c>
      <c r="E2" s="19">
        <v>1137</v>
      </c>
      <c r="F2" s="17">
        <v>663</v>
      </c>
      <c r="G2" s="25">
        <v>26157</v>
      </c>
      <c r="H2" s="34"/>
      <c r="I2" s="24" t="s">
        <v>35</v>
      </c>
      <c r="J2" s="43" t="s">
        <v>4</v>
      </c>
      <c r="K2" s="43">
        <v>13767</v>
      </c>
      <c r="L2" s="44">
        <v>1084</v>
      </c>
      <c r="M2" s="45">
        <v>642</v>
      </c>
      <c r="N2" s="53">
        <v>25862</v>
      </c>
      <c r="U2" s="39" t="s">
        <v>4</v>
      </c>
      <c r="V2" s="39">
        <v>1084</v>
      </c>
      <c r="W2" s="48">
        <v>16474576</v>
      </c>
      <c r="AA2" s="39" t="s">
        <v>4</v>
      </c>
      <c r="AB2" s="39">
        <v>642</v>
      </c>
      <c r="AC2" s="39">
        <v>9531565</v>
      </c>
      <c r="AD2" s="37"/>
      <c r="AE2" t="s">
        <v>74</v>
      </c>
      <c r="AF2" s="49">
        <v>12875629</v>
      </c>
      <c r="AG2">
        <v>25862</v>
      </c>
      <c r="AI2" t="s">
        <v>74</v>
      </c>
      <c r="AJ2" s="49">
        <v>16055676</v>
      </c>
      <c r="AK2">
        <v>26157</v>
      </c>
    </row>
    <row r="3" spans="1:37">
      <c r="A3" s="26" t="s">
        <v>36</v>
      </c>
      <c r="B3" s="12" t="s">
        <v>5</v>
      </c>
      <c r="C3" s="13">
        <v>17941</v>
      </c>
      <c r="D3" s="13">
        <v>27535</v>
      </c>
      <c r="E3" s="13">
        <v>1484</v>
      </c>
      <c r="F3" s="14">
        <v>789</v>
      </c>
      <c r="G3" s="27">
        <v>26334</v>
      </c>
      <c r="H3" s="34"/>
      <c r="I3" s="26" t="s">
        <v>36</v>
      </c>
      <c r="J3" s="15" t="s">
        <v>5</v>
      </c>
      <c r="K3" s="15">
        <v>16173</v>
      </c>
      <c r="L3" s="41">
        <v>1382</v>
      </c>
      <c r="M3" s="42">
        <v>762</v>
      </c>
      <c r="N3" s="50">
        <v>26138</v>
      </c>
      <c r="U3" s="39" t="s">
        <v>5</v>
      </c>
      <c r="V3" s="39">
        <v>1382</v>
      </c>
      <c r="W3" s="48">
        <v>25981027</v>
      </c>
      <c r="AA3" s="39" t="s">
        <v>5</v>
      </c>
      <c r="AB3" s="39">
        <v>762</v>
      </c>
      <c r="AC3" s="39">
        <v>13434168</v>
      </c>
      <c r="AD3" s="39"/>
      <c r="AE3" t="s">
        <v>76</v>
      </c>
      <c r="AF3" s="49">
        <v>17804131</v>
      </c>
      <c r="AG3">
        <v>26138</v>
      </c>
      <c r="AI3" t="s">
        <v>76</v>
      </c>
      <c r="AJ3" s="49">
        <v>28458945</v>
      </c>
      <c r="AK3">
        <v>26334</v>
      </c>
    </row>
    <row r="4" spans="1:37">
      <c r="A4" s="26" t="s">
        <v>36</v>
      </c>
      <c r="B4" s="12" t="s">
        <v>11</v>
      </c>
      <c r="C4" s="13">
        <v>10711</v>
      </c>
      <c r="D4" s="13">
        <v>29825</v>
      </c>
      <c r="E4" s="13">
        <v>1179</v>
      </c>
      <c r="F4" s="14">
        <v>706</v>
      </c>
      <c r="G4" s="27">
        <v>26030</v>
      </c>
      <c r="H4" s="34"/>
      <c r="I4" s="26" t="s">
        <v>36</v>
      </c>
      <c r="J4" s="15" t="s">
        <v>11</v>
      </c>
      <c r="K4" s="15">
        <v>9745</v>
      </c>
      <c r="L4" s="41">
        <v>1123</v>
      </c>
      <c r="M4" s="42">
        <v>695</v>
      </c>
      <c r="N4" s="50">
        <v>25801</v>
      </c>
      <c r="U4" s="39" t="s">
        <v>11</v>
      </c>
      <c r="V4" s="39">
        <v>1123</v>
      </c>
      <c r="W4" s="48">
        <v>11944864</v>
      </c>
      <c r="AA4" s="39" t="s">
        <v>11</v>
      </c>
      <c r="AB4" s="39">
        <v>695</v>
      </c>
      <c r="AC4" s="39">
        <v>7139067</v>
      </c>
      <c r="AD4" s="39"/>
      <c r="AE4" t="s">
        <v>64</v>
      </c>
      <c r="AF4" s="49">
        <v>9645823</v>
      </c>
      <c r="AG4">
        <v>25801</v>
      </c>
      <c r="AI4" t="s">
        <v>64</v>
      </c>
      <c r="AJ4" s="49">
        <v>11385335</v>
      </c>
      <c r="AK4">
        <v>26030</v>
      </c>
    </row>
    <row r="5" spans="1:37">
      <c r="A5" s="28" t="s">
        <v>41</v>
      </c>
      <c r="B5" s="12" t="s">
        <v>23</v>
      </c>
      <c r="C5" s="13">
        <v>7143</v>
      </c>
      <c r="D5" s="13">
        <v>27735</v>
      </c>
      <c r="E5" s="13">
        <v>1405</v>
      </c>
      <c r="F5" s="14">
        <v>787</v>
      </c>
      <c r="G5" s="27">
        <v>25654</v>
      </c>
      <c r="H5" s="34"/>
      <c r="I5" s="28" t="s">
        <v>41</v>
      </c>
      <c r="J5" s="15" t="s">
        <v>23</v>
      </c>
      <c r="K5" s="15">
        <v>6288</v>
      </c>
      <c r="L5" s="41">
        <v>1231.5</v>
      </c>
      <c r="M5" s="42">
        <v>774</v>
      </c>
      <c r="N5" s="50">
        <v>25373</v>
      </c>
      <c r="U5" s="39" t="s">
        <v>23</v>
      </c>
      <c r="V5" s="39">
        <v>1231.5</v>
      </c>
      <c r="W5" s="48">
        <v>9848517</v>
      </c>
      <c r="AA5" s="39" t="s">
        <v>23</v>
      </c>
      <c r="AB5" s="39">
        <v>774</v>
      </c>
      <c r="AC5" s="39">
        <v>5555843</v>
      </c>
      <c r="AD5" s="39"/>
      <c r="AE5" t="s">
        <v>71</v>
      </c>
      <c r="AF5" s="49">
        <v>7969092</v>
      </c>
      <c r="AG5">
        <v>25373</v>
      </c>
      <c r="AI5" t="s">
        <v>75</v>
      </c>
      <c r="AJ5" s="49">
        <v>27874876</v>
      </c>
      <c r="AK5">
        <v>26450</v>
      </c>
    </row>
    <row r="6" spans="1:37">
      <c r="A6" s="28" t="s">
        <v>41</v>
      </c>
      <c r="B6" s="12" t="s">
        <v>25</v>
      </c>
      <c r="C6" s="13">
        <v>13755</v>
      </c>
      <c r="D6" s="13">
        <v>28287</v>
      </c>
      <c r="E6" s="13">
        <v>1575</v>
      </c>
      <c r="F6" s="14">
        <v>862</v>
      </c>
      <c r="G6" s="27">
        <v>26395</v>
      </c>
      <c r="H6" s="34"/>
      <c r="I6" s="28" t="s">
        <v>41</v>
      </c>
      <c r="J6" s="15" t="s">
        <v>25</v>
      </c>
      <c r="K6" s="15">
        <v>12296</v>
      </c>
      <c r="L6" s="41">
        <v>1404.5</v>
      </c>
      <c r="M6" s="42">
        <v>821</v>
      </c>
      <c r="N6" s="50">
        <v>26103</v>
      </c>
      <c r="U6" s="39" t="s">
        <v>25</v>
      </c>
      <c r="V6" s="39">
        <v>1404.5</v>
      </c>
      <c r="W6" s="48">
        <v>20777448</v>
      </c>
      <c r="AA6" s="39" t="s">
        <v>25</v>
      </c>
      <c r="AB6" s="39">
        <v>821</v>
      </c>
      <c r="AC6" s="39">
        <v>11172763</v>
      </c>
      <c r="AD6" s="39"/>
      <c r="AE6" t="s">
        <v>72</v>
      </c>
      <c r="AF6" s="49">
        <v>14052252</v>
      </c>
      <c r="AG6">
        <v>26103</v>
      </c>
      <c r="AI6" t="s">
        <v>77</v>
      </c>
      <c r="AJ6" s="49">
        <v>19726243</v>
      </c>
      <c r="AK6">
        <v>26208</v>
      </c>
    </row>
    <row r="7" spans="1:37">
      <c r="A7" s="28" t="s">
        <v>41</v>
      </c>
      <c r="B7" s="12" t="s">
        <v>26</v>
      </c>
      <c r="C7" s="13">
        <v>17831</v>
      </c>
      <c r="D7" s="13">
        <v>26973</v>
      </c>
      <c r="E7" s="13">
        <v>1532</v>
      </c>
      <c r="F7" s="14">
        <v>842</v>
      </c>
      <c r="G7" s="27">
        <v>26395</v>
      </c>
      <c r="H7" s="34"/>
      <c r="I7" s="28" t="s">
        <v>41</v>
      </c>
      <c r="J7" s="15" t="s">
        <v>26</v>
      </c>
      <c r="K7" s="15">
        <v>15861</v>
      </c>
      <c r="L7" s="41">
        <v>1424</v>
      </c>
      <c r="M7" s="42">
        <v>816</v>
      </c>
      <c r="N7" s="50">
        <v>26185</v>
      </c>
      <c r="U7" s="39" t="s">
        <v>26</v>
      </c>
      <c r="V7" s="39">
        <v>1424</v>
      </c>
      <c r="W7" s="48">
        <v>25228369</v>
      </c>
      <c r="AA7" s="39" t="s">
        <v>26</v>
      </c>
      <c r="AB7" s="39">
        <v>816</v>
      </c>
      <c r="AC7" s="39">
        <v>13735719</v>
      </c>
      <c r="AD7" s="39"/>
      <c r="AE7" t="s">
        <v>73</v>
      </c>
      <c r="AF7" s="49">
        <v>19151443</v>
      </c>
      <c r="AG7">
        <v>26185</v>
      </c>
      <c r="AI7" t="s">
        <v>71</v>
      </c>
      <c r="AJ7" s="49">
        <v>11413740</v>
      </c>
      <c r="AK7">
        <v>25654</v>
      </c>
    </row>
    <row r="8" spans="1:37">
      <c r="A8" s="26" t="s">
        <v>37</v>
      </c>
      <c r="B8" s="12" t="s">
        <v>6</v>
      </c>
      <c r="C8" s="13">
        <v>18729</v>
      </c>
      <c r="D8" s="13">
        <v>27941</v>
      </c>
      <c r="E8" s="13">
        <v>1660</v>
      </c>
      <c r="F8" s="14">
        <v>911</v>
      </c>
      <c r="G8" s="27">
        <v>26450</v>
      </c>
      <c r="H8" s="34"/>
      <c r="I8" s="26" t="s">
        <v>37</v>
      </c>
      <c r="J8" s="15" t="s">
        <v>6</v>
      </c>
      <c r="K8" s="15">
        <v>17268</v>
      </c>
      <c r="L8" s="41">
        <v>1579</v>
      </c>
      <c r="M8" s="42">
        <v>887</v>
      </c>
      <c r="N8" s="50">
        <v>26289</v>
      </c>
      <c r="U8" s="39" t="s">
        <v>6</v>
      </c>
      <c r="V8" s="39">
        <v>1579</v>
      </c>
      <c r="W8" s="48">
        <v>30287307</v>
      </c>
      <c r="AA8" s="39" t="s">
        <v>6</v>
      </c>
      <c r="AB8" s="39">
        <v>887</v>
      </c>
      <c r="AC8" s="39">
        <v>15939278</v>
      </c>
      <c r="AD8" s="39"/>
      <c r="AE8" t="s">
        <v>75</v>
      </c>
      <c r="AF8" s="49">
        <v>24025485</v>
      </c>
      <c r="AG8">
        <v>26289</v>
      </c>
      <c r="AI8" t="s">
        <v>72</v>
      </c>
      <c r="AJ8" s="49">
        <v>24121690</v>
      </c>
      <c r="AK8">
        <v>26395</v>
      </c>
    </row>
    <row r="9" spans="1:37">
      <c r="A9" s="26" t="s">
        <v>37</v>
      </c>
      <c r="B9" s="12" t="s">
        <v>9</v>
      </c>
      <c r="C9" s="13">
        <v>14360</v>
      </c>
      <c r="D9" s="13">
        <v>26059</v>
      </c>
      <c r="E9" s="13">
        <v>1288</v>
      </c>
      <c r="F9" s="14">
        <v>738</v>
      </c>
      <c r="G9" s="27">
        <v>26208</v>
      </c>
      <c r="H9" s="34"/>
      <c r="I9" s="26" t="s">
        <v>37</v>
      </c>
      <c r="J9" s="15" t="s">
        <v>9</v>
      </c>
      <c r="K9" s="15">
        <v>12890</v>
      </c>
      <c r="L9" s="41">
        <v>1210</v>
      </c>
      <c r="M9" s="42">
        <v>716</v>
      </c>
      <c r="N9" s="50">
        <v>25897</v>
      </c>
      <c r="U9" s="39" t="s">
        <v>9</v>
      </c>
      <c r="V9" s="39">
        <v>1210</v>
      </c>
      <c r="W9" s="48">
        <v>17536764</v>
      </c>
      <c r="AA9" s="39" t="s">
        <v>9</v>
      </c>
      <c r="AB9" s="39">
        <v>716</v>
      </c>
      <c r="AC9" s="39">
        <v>9965010</v>
      </c>
      <c r="AD9" s="39"/>
      <c r="AE9" t="s">
        <v>77</v>
      </c>
      <c r="AF9" s="49">
        <v>11438337</v>
      </c>
      <c r="AG9">
        <v>25897</v>
      </c>
      <c r="AI9" t="s">
        <v>73</v>
      </c>
      <c r="AJ9" s="49">
        <v>29585212</v>
      </c>
      <c r="AK9">
        <v>26395</v>
      </c>
    </row>
    <row r="10" spans="1:37">
      <c r="A10" s="28" t="s">
        <v>52</v>
      </c>
      <c r="B10" s="12" t="s">
        <v>10</v>
      </c>
      <c r="C10" s="13">
        <v>8919</v>
      </c>
      <c r="D10" s="13">
        <v>29399</v>
      </c>
      <c r="E10" s="13">
        <v>1165</v>
      </c>
      <c r="F10" s="14">
        <v>697</v>
      </c>
      <c r="G10" s="27">
        <v>25675</v>
      </c>
      <c r="H10" s="34"/>
      <c r="I10" s="28" t="s">
        <v>52</v>
      </c>
      <c r="J10" s="15" t="s">
        <v>10</v>
      </c>
      <c r="K10" s="15">
        <v>8077</v>
      </c>
      <c r="L10" s="41">
        <v>1086</v>
      </c>
      <c r="M10" s="42">
        <v>677</v>
      </c>
      <c r="N10" s="50">
        <v>25367</v>
      </c>
      <c r="U10" s="39" t="s">
        <v>10</v>
      </c>
      <c r="V10" s="39">
        <v>1086</v>
      </c>
      <c r="W10" s="48">
        <v>10200168</v>
      </c>
      <c r="AA10" s="39" t="s">
        <v>10</v>
      </c>
      <c r="AB10" s="39">
        <v>677</v>
      </c>
      <c r="AC10" s="39">
        <v>6032561</v>
      </c>
      <c r="AD10" s="39"/>
      <c r="AE10" t="s">
        <v>81</v>
      </c>
      <c r="AF10" s="49">
        <v>8010711</v>
      </c>
      <c r="AG10">
        <v>25367</v>
      </c>
      <c r="AI10" t="s">
        <v>81</v>
      </c>
      <c r="AJ10" s="49">
        <v>11653868</v>
      </c>
      <c r="AK10">
        <v>25675</v>
      </c>
    </row>
    <row r="11" spans="1:37">
      <c r="A11" s="28" t="s">
        <v>52</v>
      </c>
      <c r="B11" s="12" t="s">
        <v>13</v>
      </c>
      <c r="C11" s="13">
        <v>12949</v>
      </c>
      <c r="D11" s="13">
        <v>29839</v>
      </c>
      <c r="E11" s="13">
        <v>1325</v>
      </c>
      <c r="F11" s="14">
        <v>767</v>
      </c>
      <c r="G11" s="27">
        <v>26242</v>
      </c>
      <c r="H11" s="34"/>
      <c r="I11" s="28" t="s">
        <v>52</v>
      </c>
      <c r="J11" s="15" t="s">
        <v>13</v>
      </c>
      <c r="K11" s="15">
        <v>11788</v>
      </c>
      <c r="L11" s="41">
        <v>1265</v>
      </c>
      <c r="M11" s="42">
        <v>749</v>
      </c>
      <c r="N11" s="50">
        <v>26009</v>
      </c>
      <c r="U11" s="39" t="s">
        <v>13</v>
      </c>
      <c r="V11" s="39">
        <v>1265</v>
      </c>
      <c r="W11" s="48">
        <v>16630403</v>
      </c>
      <c r="AA11" s="39" t="s">
        <v>13</v>
      </c>
      <c r="AB11" s="39">
        <v>749</v>
      </c>
      <c r="AC11" s="39">
        <v>9448185</v>
      </c>
      <c r="AD11" s="39"/>
      <c r="AE11" t="s">
        <v>66</v>
      </c>
      <c r="AF11" s="49">
        <v>13208936</v>
      </c>
      <c r="AG11">
        <v>26009</v>
      </c>
      <c r="AI11" t="s">
        <v>66</v>
      </c>
      <c r="AJ11" s="49">
        <v>19120573</v>
      </c>
      <c r="AK11">
        <v>26242</v>
      </c>
    </row>
    <row r="12" spans="1:37">
      <c r="A12" s="28" t="s">
        <v>52</v>
      </c>
      <c r="B12" s="12" t="s">
        <v>24</v>
      </c>
      <c r="C12" s="13">
        <v>13595</v>
      </c>
      <c r="D12" s="13">
        <v>28371</v>
      </c>
      <c r="E12" s="13">
        <v>1893</v>
      </c>
      <c r="F12" s="14">
        <v>967</v>
      </c>
      <c r="G12" s="27">
        <v>26291</v>
      </c>
      <c r="H12" s="34"/>
      <c r="I12" s="28" t="s">
        <v>52</v>
      </c>
      <c r="J12" s="15" t="s">
        <v>24</v>
      </c>
      <c r="K12" s="15">
        <v>11877</v>
      </c>
      <c r="L12" s="41">
        <v>1705</v>
      </c>
      <c r="M12" s="42">
        <v>949</v>
      </c>
      <c r="N12" s="50">
        <v>26043</v>
      </c>
      <c r="U12" s="39" t="s">
        <v>24</v>
      </c>
      <c r="V12" s="39">
        <v>1705</v>
      </c>
      <c r="W12" s="48">
        <v>24713563</v>
      </c>
      <c r="AA12" s="39" t="s">
        <v>24</v>
      </c>
      <c r="AB12" s="39">
        <v>949</v>
      </c>
      <c r="AC12" s="39">
        <v>12401251</v>
      </c>
      <c r="AD12" s="39"/>
      <c r="AE12" t="s">
        <v>70</v>
      </c>
      <c r="AF12" s="49">
        <v>18720850</v>
      </c>
      <c r="AG12">
        <v>26043</v>
      </c>
      <c r="AI12" t="s">
        <v>70</v>
      </c>
      <c r="AJ12" s="49">
        <v>26307356</v>
      </c>
      <c r="AK12">
        <v>26291</v>
      </c>
    </row>
    <row r="13" spans="1:37">
      <c r="A13" s="26" t="s">
        <v>51</v>
      </c>
      <c r="B13" s="12" t="s">
        <v>12</v>
      </c>
      <c r="C13" s="13">
        <v>11343</v>
      </c>
      <c r="D13" s="13">
        <v>29957</v>
      </c>
      <c r="E13" s="13">
        <v>1306</v>
      </c>
      <c r="F13" s="14">
        <v>771</v>
      </c>
      <c r="G13" s="27">
        <v>26083</v>
      </c>
      <c r="H13" s="34"/>
      <c r="I13" s="26" t="s">
        <v>51</v>
      </c>
      <c r="J13" s="15" t="s">
        <v>12</v>
      </c>
      <c r="K13" s="15">
        <v>10467</v>
      </c>
      <c r="L13" s="41">
        <v>1241</v>
      </c>
      <c r="M13" s="42">
        <v>747</v>
      </c>
      <c r="N13" s="50">
        <v>25887</v>
      </c>
      <c r="U13" s="39" t="s">
        <v>12</v>
      </c>
      <c r="V13" s="39">
        <v>1241</v>
      </c>
      <c r="W13" s="48">
        <v>14493567</v>
      </c>
      <c r="AA13" s="39" t="s">
        <v>12</v>
      </c>
      <c r="AB13" s="39">
        <v>747</v>
      </c>
      <c r="AC13" s="39">
        <v>8429009</v>
      </c>
      <c r="AD13" s="39"/>
      <c r="AE13" t="s">
        <v>65</v>
      </c>
      <c r="AF13" s="49">
        <v>11577153</v>
      </c>
      <c r="AG13">
        <v>25887</v>
      </c>
      <c r="AI13" t="s">
        <v>65</v>
      </c>
      <c r="AJ13" s="49">
        <v>13414464</v>
      </c>
      <c r="AK13">
        <v>26083</v>
      </c>
    </row>
    <row r="14" spans="1:37">
      <c r="A14" s="26" t="s">
        <v>51</v>
      </c>
      <c r="B14" s="12" t="s">
        <v>15</v>
      </c>
      <c r="C14" s="13">
        <v>15084</v>
      </c>
      <c r="D14" s="13">
        <v>30228</v>
      </c>
      <c r="E14" s="13">
        <v>1118</v>
      </c>
      <c r="F14" s="14">
        <v>670</v>
      </c>
      <c r="G14" s="27">
        <v>26204</v>
      </c>
      <c r="H14" s="34"/>
      <c r="I14" s="26" t="s">
        <v>51</v>
      </c>
      <c r="J14" s="15" t="s">
        <v>15</v>
      </c>
      <c r="K14" s="15">
        <v>13802</v>
      </c>
      <c r="L14" s="41">
        <v>1063</v>
      </c>
      <c r="M14" s="42">
        <v>653</v>
      </c>
      <c r="N14" s="50">
        <v>26030</v>
      </c>
      <c r="U14" s="39" t="s">
        <v>15</v>
      </c>
      <c r="V14" s="39">
        <v>1063</v>
      </c>
      <c r="W14" s="48">
        <v>16345019</v>
      </c>
      <c r="AA14" s="39" t="s">
        <v>15</v>
      </c>
      <c r="AB14" s="39">
        <v>653</v>
      </c>
      <c r="AC14" s="39">
        <v>9695242</v>
      </c>
      <c r="AD14" s="39"/>
      <c r="AE14" t="s">
        <v>68</v>
      </c>
      <c r="AF14" s="49">
        <v>13205621</v>
      </c>
      <c r="AG14">
        <v>26030</v>
      </c>
      <c r="AI14" t="s">
        <v>68</v>
      </c>
      <c r="AJ14" s="49">
        <v>14907239</v>
      </c>
      <c r="AK14">
        <v>26204</v>
      </c>
    </row>
    <row r="15" spans="1:37">
      <c r="A15" s="26" t="s">
        <v>50</v>
      </c>
      <c r="B15" s="12" t="s">
        <v>14</v>
      </c>
      <c r="C15" s="13">
        <v>12054</v>
      </c>
      <c r="D15" s="13">
        <v>31845</v>
      </c>
      <c r="E15" s="13">
        <v>1335</v>
      </c>
      <c r="F15" s="14">
        <v>740</v>
      </c>
      <c r="G15" s="27">
        <v>26096</v>
      </c>
      <c r="H15" s="34"/>
      <c r="I15" s="26" t="s">
        <v>50</v>
      </c>
      <c r="J15" s="15" t="s">
        <v>14</v>
      </c>
      <c r="K15" s="15">
        <v>10942</v>
      </c>
      <c r="L15" s="41">
        <v>1257.5</v>
      </c>
      <c r="M15" s="42">
        <v>725</v>
      </c>
      <c r="N15" s="50">
        <v>25873</v>
      </c>
      <c r="U15" s="39" t="s">
        <v>14</v>
      </c>
      <c r="V15" s="39">
        <v>1257.5</v>
      </c>
      <c r="W15" s="48">
        <v>15608269</v>
      </c>
      <c r="AA15" s="39" t="s">
        <v>14</v>
      </c>
      <c r="AB15" s="39">
        <v>725</v>
      </c>
      <c r="AC15" s="39">
        <v>8545757</v>
      </c>
      <c r="AD15" s="39"/>
      <c r="AE15" t="s">
        <v>67</v>
      </c>
      <c r="AF15" s="49">
        <v>11492524</v>
      </c>
      <c r="AG15">
        <v>25873</v>
      </c>
      <c r="AI15" t="s">
        <v>67</v>
      </c>
      <c r="AJ15" s="49">
        <v>17279762</v>
      </c>
      <c r="AK15">
        <v>26096</v>
      </c>
    </row>
    <row r="16" spans="1:37" ht="17" thickBot="1">
      <c r="A16" s="29" t="s">
        <v>50</v>
      </c>
      <c r="B16" s="30" t="s">
        <v>16</v>
      </c>
      <c r="C16" s="31">
        <v>13218</v>
      </c>
      <c r="D16" s="31">
        <v>31018</v>
      </c>
      <c r="E16" s="32">
        <v>912</v>
      </c>
      <c r="F16" s="32">
        <v>532</v>
      </c>
      <c r="G16" s="33">
        <v>25846</v>
      </c>
      <c r="H16" s="34"/>
      <c r="I16" s="29" t="s">
        <v>50</v>
      </c>
      <c r="J16" s="46" t="s">
        <v>16</v>
      </c>
      <c r="K16" s="46">
        <v>11153</v>
      </c>
      <c r="L16" s="47">
        <v>837</v>
      </c>
      <c r="M16" s="51">
        <v>521</v>
      </c>
      <c r="N16" s="52">
        <v>25508</v>
      </c>
      <c r="U16" s="39" t="s">
        <v>16</v>
      </c>
      <c r="V16" s="39">
        <v>837</v>
      </c>
      <c r="W16" s="48">
        <v>10341300</v>
      </c>
      <c r="X16" s="39"/>
      <c r="Y16" s="39"/>
      <c r="AA16" s="39" t="s">
        <v>16</v>
      </c>
      <c r="AB16" s="39">
        <v>521</v>
      </c>
      <c r="AC16" s="39">
        <v>6238410</v>
      </c>
      <c r="AD16" s="39"/>
      <c r="AE16" t="s">
        <v>69</v>
      </c>
      <c r="AF16" s="49">
        <v>7177071</v>
      </c>
      <c r="AG16">
        <v>25508</v>
      </c>
      <c r="AI16" t="s">
        <v>69</v>
      </c>
      <c r="AJ16" s="49">
        <v>11479224</v>
      </c>
      <c r="AK16">
        <v>25846</v>
      </c>
    </row>
    <row r="17" spans="1:37">
      <c r="A17" t="s">
        <v>31</v>
      </c>
      <c r="C17" s="4">
        <f>AVERAGE(C2:C16)</f>
        <v>13529.666666666666</v>
      </c>
      <c r="D17" s="4">
        <f>AVERAGE(D2:D16)</f>
        <v>29317.599999999999</v>
      </c>
      <c r="E17" s="4">
        <f>AVERAGE(E2:E16)</f>
        <v>1354.2666666666667</v>
      </c>
      <c r="F17" s="4">
        <f>AVERAGE(F2:F16)</f>
        <v>762.8</v>
      </c>
      <c r="G17" s="4">
        <f>AVERAGE(G2:G16)</f>
        <v>26137.333333333332</v>
      </c>
      <c r="I17" t="s">
        <v>31</v>
      </c>
      <c r="K17" s="4">
        <f>AVERAGE(K2:K16)</f>
        <v>12159.6</v>
      </c>
      <c r="L17" s="4">
        <f t="shared" ref="L17:N17" si="0">AVERAGE(L2:L16)</f>
        <v>1259.5</v>
      </c>
      <c r="M17" s="4">
        <f t="shared" si="0"/>
        <v>742.26666666666665</v>
      </c>
      <c r="N17" s="4">
        <f t="shared" si="0"/>
        <v>25891</v>
      </c>
      <c r="O17" s="4"/>
      <c r="X17" s="39"/>
      <c r="AF17" s="49">
        <f>SUM(AF2:AF16)</f>
        <v>200355058</v>
      </c>
      <c r="AI17" t="s">
        <v>32</v>
      </c>
      <c r="AJ17" s="49">
        <v>282784203</v>
      </c>
      <c r="AK17">
        <v>27597</v>
      </c>
    </row>
    <row r="18" spans="1:37">
      <c r="A18" s="9" t="s">
        <v>32</v>
      </c>
      <c r="C18" s="16">
        <f>SUM(C2:C16)</f>
        <v>202945</v>
      </c>
      <c r="D18" s="16">
        <v>282784203</v>
      </c>
      <c r="E18" s="16"/>
      <c r="F18" s="16"/>
      <c r="G18" s="9">
        <v>27597</v>
      </c>
      <c r="I18" s="9" t="s">
        <v>32</v>
      </c>
      <c r="K18" s="16">
        <f>SUM(K2:K16)</f>
        <v>182394</v>
      </c>
      <c r="L18" s="16">
        <v>200355058</v>
      </c>
      <c r="M18" s="16"/>
      <c r="N18" s="16">
        <v>27597</v>
      </c>
      <c r="O18" s="16"/>
    </row>
    <row r="19" spans="1:37">
      <c r="A19" t="s">
        <v>33</v>
      </c>
      <c r="C19" s="4">
        <f>MAX(C2:C16)</f>
        <v>18729</v>
      </c>
      <c r="D19" s="4">
        <f>MAX(D2:D16)</f>
        <v>34752</v>
      </c>
      <c r="E19" s="4">
        <f>MAX(E2:E16)</f>
        <v>1893</v>
      </c>
      <c r="F19" s="4">
        <f>MAX(F2:F16)</f>
        <v>967</v>
      </c>
      <c r="G19" s="4">
        <f>MAX(G2:G16)</f>
        <v>26450</v>
      </c>
      <c r="I19" t="s">
        <v>33</v>
      </c>
      <c r="K19" s="4">
        <f>MAX(K2:K16)</f>
        <v>17268</v>
      </c>
      <c r="L19" s="4">
        <f>MAX(L2:L16)</f>
        <v>1705</v>
      </c>
      <c r="M19" s="4">
        <f>MAX(M2:M16)</f>
        <v>949</v>
      </c>
      <c r="N19" s="4">
        <f>MAX(N2:N16)</f>
        <v>26289</v>
      </c>
      <c r="O19" s="4"/>
    </row>
    <row r="20" spans="1:37">
      <c r="A20" t="s">
        <v>34</v>
      </c>
      <c r="C20" s="4">
        <f>MIN(C2:C16)</f>
        <v>7143</v>
      </c>
      <c r="D20" s="4">
        <f>MIN(D2:D16)</f>
        <v>26059</v>
      </c>
      <c r="E20" s="4">
        <f>MIN(E2:E16)</f>
        <v>912</v>
      </c>
      <c r="F20" s="4">
        <f>MIN(F2:F16)</f>
        <v>532</v>
      </c>
      <c r="G20" s="4">
        <f>MIN(G2:G16)</f>
        <v>25654</v>
      </c>
      <c r="I20" t="s">
        <v>34</v>
      </c>
      <c r="K20" s="4">
        <f>MIN(K2:K16)</f>
        <v>6288</v>
      </c>
      <c r="L20" s="4">
        <f>MIN(L2:L16)</f>
        <v>837</v>
      </c>
      <c r="M20" s="4">
        <f>MIN(M2:M16)</f>
        <v>521</v>
      </c>
      <c r="N20" s="4">
        <f>MIN(N2:N16)</f>
        <v>25367</v>
      </c>
      <c r="O20" s="4"/>
    </row>
    <row r="21" spans="1:37" ht="17" thickBot="1">
      <c r="J21" t="s">
        <v>55</v>
      </c>
      <c r="L21" t="s">
        <v>56</v>
      </c>
      <c r="M21" t="s">
        <v>57</v>
      </c>
    </row>
    <row r="22" spans="1:37" ht="72" thickBot="1">
      <c r="B22" s="9" t="s">
        <v>44</v>
      </c>
      <c r="I22" t="s">
        <v>31</v>
      </c>
      <c r="J22" s="22" t="s">
        <v>27</v>
      </c>
      <c r="K22" s="22" t="s">
        <v>43</v>
      </c>
      <c r="L22" s="22" t="s">
        <v>28</v>
      </c>
      <c r="M22" s="22" t="s">
        <v>29</v>
      </c>
      <c r="N22" s="23" t="s">
        <v>30</v>
      </c>
      <c r="U22" s="37"/>
      <c r="V22" s="37"/>
      <c r="W22" s="37"/>
      <c r="X22" s="37"/>
      <c r="Y22" s="37"/>
      <c r="Z22" s="40"/>
      <c r="AA22" s="40"/>
      <c r="AB22" s="40"/>
    </row>
    <row r="23" spans="1:37">
      <c r="B23" t="s">
        <v>31</v>
      </c>
      <c r="C23" s="4">
        <f>AVERAGE(C2:C4)</f>
        <v>14655</v>
      </c>
      <c r="D23" s="4">
        <f t="shared" ref="D23:G23" si="1">AVERAGE(D2:D4)</f>
        <v>30704</v>
      </c>
      <c r="E23" s="4">
        <f t="shared" si="1"/>
        <v>1266.6666666666667</v>
      </c>
      <c r="F23" s="4">
        <f t="shared" si="1"/>
        <v>719.33333333333337</v>
      </c>
      <c r="G23" s="4">
        <f t="shared" si="1"/>
        <v>26173.666666666668</v>
      </c>
      <c r="I23" s="9" t="s">
        <v>44</v>
      </c>
      <c r="J23" s="35">
        <v>14655</v>
      </c>
      <c r="K23" s="35">
        <v>30704</v>
      </c>
      <c r="L23" s="35">
        <v>1266.6666666666667</v>
      </c>
      <c r="M23" s="35">
        <v>719.33333333333337</v>
      </c>
      <c r="N23" s="35">
        <v>26173.666666666668</v>
      </c>
      <c r="U23" s="38"/>
      <c r="V23" s="38"/>
      <c r="W23" s="37"/>
      <c r="X23" s="38"/>
      <c r="Y23" s="38"/>
      <c r="Z23" s="40"/>
      <c r="AA23" s="40"/>
      <c r="AB23" s="40"/>
    </row>
    <row r="24" spans="1:37">
      <c r="B24" t="s">
        <v>32</v>
      </c>
      <c r="C24" s="4">
        <f>SUM(C2:C4)</f>
        <v>43965</v>
      </c>
      <c r="D24" s="4">
        <f t="shared" ref="D24:G24" si="2">SUM(D2:D4)</f>
        <v>92112</v>
      </c>
      <c r="E24" s="4">
        <f t="shared" si="2"/>
        <v>3800</v>
      </c>
      <c r="F24" s="4">
        <f t="shared" si="2"/>
        <v>2158</v>
      </c>
      <c r="G24" s="4">
        <f t="shared" si="2"/>
        <v>78521</v>
      </c>
      <c r="I24" s="9" t="s">
        <v>45</v>
      </c>
      <c r="J24" s="35">
        <v>12909.666666666666</v>
      </c>
      <c r="K24" s="35">
        <v>27665</v>
      </c>
      <c r="L24" s="35">
        <v>1504</v>
      </c>
      <c r="M24" s="35">
        <v>830.33333333333337</v>
      </c>
      <c r="N24" s="35">
        <v>26148</v>
      </c>
      <c r="U24" s="39"/>
      <c r="V24" s="39"/>
      <c r="W24" s="39"/>
      <c r="X24" s="39"/>
      <c r="Y24" s="39"/>
      <c r="Z24" s="39"/>
      <c r="AA24" s="39"/>
      <c r="AB24" s="39"/>
    </row>
    <row r="25" spans="1:37">
      <c r="B25" t="s">
        <v>33</v>
      </c>
      <c r="C25" s="4">
        <f>MAX(C2:C4)</f>
        <v>17941</v>
      </c>
      <c r="D25" s="4">
        <f t="shared" ref="D25:G25" si="3">MAX(D2:D4)</f>
        <v>34752</v>
      </c>
      <c r="E25" s="4">
        <f t="shared" si="3"/>
        <v>1484</v>
      </c>
      <c r="F25" s="4">
        <f t="shared" si="3"/>
        <v>789</v>
      </c>
      <c r="G25" s="4">
        <f t="shared" si="3"/>
        <v>26334</v>
      </c>
      <c r="I25" s="9" t="s">
        <v>46</v>
      </c>
      <c r="J25">
        <v>16544.5</v>
      </c>
      <c r="K25">
        <v>27000</v>
      </c>
      <c r="L25">
        <v>1474</v>
      </c>
      <c r="M25">
        <v>824.5</v>
      </c>
      <c r="N25">
        <v>26329</v>
      </c>
      <c r="U25" s="39"/>
      <c r="V25" s="39"/>
      <c r="W25" s="39"/>
      <c r="X25" s="39"/>
      <c r="Y25" s="39"/>
      <c r="Z25" s="39"/>
      <c r="AA25" s="39"/>
      <c r="AB25" s="39"/>
    </row>
    <row r="26" spans="1:37">
      <c r="B26" t="s">
        <v>34</v>
      </c>
      <c r="C26" s="4">
        <f>MIN(C2:C4)</f>
        <v>10711</v>
      </c>
      <c r="D26" s="4">
        <f t="shared" ref="D26:G26" si="4">MIN(D2:D4)</f>
        <v>27535</v>
      </c>
      <c r="E26" s="4">
        <f t="shared" si="4"/>
        <v>1137</v>
      </c>
      <c r="F26" s="4">
        <f t="shared" si="4"/>
        <v>663</v>
      </c>
      <c r="G26" s="4">
        <f t="shared" si="4"/>
        <v>26030</v>
      </c>
      <c r="I26" s="9" t="s">
        <v>47</v>
      </c>
      <c r="J26">
        <v>11821</v>
      </c>
      <c r="K26">
        <v>29203</v>
      </c>
      <c r="L26">
        <v>1461</v>
      </c>
      <c r="M26">
        <v>810.33333333333337</v>
      </c>
      <c r="N26">
        <v>26069.333333333332</v>
      </c>
      <c r="U26" s="39"/>
      <c r="V26" s="39"/>
      <c r="W26" s="39"/>
      <c r="X26" s="39"/>
      <c r="Y26" s="39"/>
      <c r="Z26" s="39"/>
      <c r="AA26" s="39"/>
      <c r="AB26" s="39"/>
    </row>
    <row r="27" spans="1:37">
      <c r="I27" s="9" t="s">
        <v>48</v>
      </c>
      <c r="J27">
        <v>13213.5</v>
      </c>
      <c r="K27">
        <v>30092.5</v>
      </c>
      <c r="L27">
        <v>1212</v>
      </c>
      <c r="M27">
        <v>720.5</v>
      </c>
      <c r="N27">
        <v>26143.5</v>
      </c>
      <c r="U27" s="39"/>
      <c r="V27" s="39"/>
      <c r="W27" s="39"/>
      <c r="X27" s="39"/>
      <c r="Y27" s="39"/>
      <c r="Z27" s="39"/>
      <c r="AA27" s="39"/>
      <c r="AB27" s="39"/>
    </row>
    <row r="28" spans="1:37">
      <c r="B28" s="9" t="s">
        <v>45</v>
      </c>
      <c r="I28" s="11" t="s">
        <v>49</v>
      </c>
      <c r="J28">
        <v>12636</v>
      </c>
      <c r="K28">
        <v>31431.5</v>
      </c>
      <c r="L28">
        <v>1123.5</v>
      </c>
      <c r="M28">
        <v>636</v>
      </c>
      <c r="N28">
        <v>25971</v>
      </c>
      <c r="U28" s="39"/>
      <c r="V28" s="39"/>
      <c r="W28" s="39"/>
      <c r="X28" s="39"/>
      <c r="Y28" s="39"/>
      <c r="Z28" s="39"/>
      <c r="AA28" s="39"/>
      <c r="AB28" s="39"/>
    </row>
    <row r="29" spans="1:37">
      <c r="B29" t="s">
        <v>31</v>
      </c>
      <c r="C29" s="4">
        <f>AVERAGE(C5:C7)</f>
        <v>12909.666666666666</v>
      </c>
      <c r="D29" s="4">
        <f>AVERAGE(D5:D7)</f>
        <v>27665</v>
      </c>
      <c r="E29" s="4">
        <f>AVERAGE(E5:E7)</f>
        <v>1504</v>
      </c>
      <c r="F29" s="4">
        <f>AVERAGE(F5:F7)</f>
        <v>830.33333333333337</v>
      </c>
      <c r="G29" s="4">
        <f>AVERAGE(G5:G7)</f>
        <v>26148</v>
      </c>
      <c r="I29" t="s">
        <v>53</v>
      </c>
      <c r="J29" s="36">
        <f>AVERAGE(J23:J28)</f>
        <v>13629.944444444443</v>
      </c>
      <c r="K29" s="36">
        <f t="shared" ref="K29:N29" si="5">AVERAGE(K23:K28)</f>
        <v>29349.333333333332</v>
      </c>
      <c r="L29" s="36">
        <f t="shared" si="5"/>
        <v>1340.1944444444446</v>
      </c>
      <c r="M29" s="36">
        <f t="shared" si="5"/>
        <v>756.83333333333337</v>
      </c>
      <c r="N29" s="36">
        <f t="shared" si="5"/>
        <v>26139.083333333332</v>
      </c>
      <c r="U29" s="39"/>
      <c r="V29" s="39"/>
      <c r="W29" s="39"/>
      <c r="X29" s="39"/>
      <c r="Y29" s="39"/>
      <c r="Z29" s="39"/>
      <c r="AA29" s="39"/>
      <c r="AB29" s="39"/>
    </row>
    <row r="30" spans="1:37">
      <c r="B30" t="s">
        <v>32</v>
      </c>
      <c r="C30" s="4">
        <f>SUM(C5:C7)</f>
        <v>38729</v>
      </c>
      <c r="D30" s="4">
        <f>SUM(D5:D7)</f>
        <v>82995</v>
      </c>
      <c r="E30" s="4">
        <f>SUM(E5:E7)</f>
        <v>4512</v>
      </c>
      <c r="F30" s="4">
        <f>SUM(F5:F7)</f>
        <v>2491</v>
      </c>
      <c r="G30" s="4">
        <f>SUM(G5:G7)</f>
        <v>78444</v>
      </c>
      <c r="U30" s="39"/>
      <c r="V30" s="39"/>
      <c r="W30" s="39"/>
      <c r="X30" s="39"/>
      <c r="Y30" s="39"/>
      <c r="Z30" s="39"/>
      <c r="AA30" s="39"/>
      <c r="AB30" s="39"/>
    </row>
    <row r="31" spans="1:37">
      <c r="B31" t="s">
        <v>33</v>
      </c>
      <c r="C31" s="4">
        <f>MAX(C5:C7)</f>
        <v>17831</v>
      </c>
      <c r="D31" s="4">
        <f>MAX(D5:D7)</f>
        <v>28287</v>
      </c>
      <c r="E31" s="4">
        <f>MAX(E5:E7)</f>
        <v>1575</v>
      </c>
      <c r="F31" s="4">
        <f>MAX(F5:F7)</f>
        <v>862</v>
      </c>
      <c r="G31" s="4">
        <f>MAX(G5:G7)</f>
        <v>26395</v>
      </c>
      <c r="I31" t="s">
        <v>54</v>
      </c>
      <c r="U31" s="39"/>
      <c r="V31" s="39"/>
      <c r="W31" s="39"/>
      <c r="X31" s="39"/>
      <c r="Y31" s="39"/>
      <c r="Z31" s="39"/>
      <c r="AA31" s="39"/>
      <c r="AB31" s="39"/>
    </row>
    <row r="32" spans="1:37">
      <c r="B32" t="s">
        <v>34</v>
      </c>
      <c r="C32" s="4">
        <f>MIN(C5:C7)</f>
        <v>7143</v>
      </c>
      <c r="D32" s="4">
        <f>MIN(D5:D7)</f>
        <v>26973</v>
      </c>
      <c r="E32" s="4">
        <f>MIN(E5:E7)</f>
        <v>1405</v>
      </c>
      <c r="F32" s="4">
        <f>MIN(F5:F7)</f>
        <v>787</v>
      </c>
      <c r="G32" s="4">
        <f>MIN(G5:G7)</f>
        <v>25654</v>
      </c>
      <c r="I32" s="9" t="s">
        <v>44</v>
      </c>
      <c r="U32" s="39"/>
      <c r="V32" s="39"/>
      <c r="W32" s="39"/>
      <c r="X32" s="39"/>
      <c r="Y32" s="39"/>
      <c r="Z32" s="39"/>
      <c r="AA32" s="39"/>
      <c r="AB32" s="39"/>
    </row>
    <row r="33" spans="2:28">
      <c r="I33" s="9" t="s">
        <v>45</v>
      </c>
      <c r="U33" s="39"/>
      <c r="V33" s="39"/>
      <c r="W33" s="39"/>
      <c r="X33" s="39"/>
      <c r="Y33" s="39"/>
      <c r="Z33" s="39"/>
    </row>
    <row r="34" spans="2:28">
      <c r="B34" s="9" t="s">
        <v>46</v>
      </c>
      <c r="I34" s="9" t="s">
        <v>46</v>
      </c>
      <c r="U34" s="39"/>
      <c r="V34" s="39"/>
      <c r="W34" s="39"/>
      <c r="X34" s="39"/>
      <c r="Y34" s="39"/>
      <c r="Z34" s="39"/>
      <c r="AA34" s="39"/>
      <c r="AB34" s="39"/>
    </row>
    <row r="35" spans="2:28">
      <c r="B35" t="s">
        <v>31</v>
      </c>
      <c r="C35" s="4">
        <f>AVERAGE(C8:C9)</f>
        <v>16544.5</v>
      </c>
      <c r="D35" s="4">
        <f t="shared" ref="D35:G35" si="6">AVERAGE(D8:D9)</f>
        <v>27000</v>
      </c>
      <c r="E35" s="4">
        <f t="shared" si="6"/>
        <v>1474</v>
      </c>
      <c r="F35" s="4">
        <f t="shared" si="6"/>
        <v>824.5</v>
      </c>
      <c r="G35" s="4">
        <f t="shared" si="6"/>
        <v>26329</v>
      </c>
      <c r="I35" s="9" t="s">
        <v>47</v>
      </c>
      <c r="U35" s="39"/>
      <c r="V35" s="39"/>
      <c r="W35" s="39"/>
      <c r="X35" s="39"/>
      <c r="Y35" s="39"/>
      <c r="Z35" s="39"/>
      <c r="AA35" s="39"/>
      <c r="AB35" s="39"/>
    </row>
    <row r="36" spans="2:28">
      <c r="B36" t="s">
        <v>32</v>
      </c>
      <c r="C36" s="4">
        <f>SUM(C8:C9)</f>
        <v>33089</v>
      </c>
      <c r="D36" s="4">
        <f t="shared" ref="D36:G36" si="7">SUM(D8:D9)</f>
        <v>54000</v>
      </c>
      <c r="E36" s="4">
        <f t="shared" si="7"/>
        <v>2948</v>
      </c>
      <c r="F36" s="4">
        <f t="shared" si="7"/>
        <v>1649</v>
      </c>
      <c r="G36" s="4">
        <f t="shared" si="7"/>
        <v>52658</v>
      </c>
      <c r="I36" s="9" t="s">
        <v>48</v>
      </c>
      <c r="U36" s="39"/>
      <c r="V36" s="39"/>
      <c r="W36" s="39"/>
      <c r="X36" s="39"/>
      <c r="Y36" s="39"/>
      <c r="Z36" s="39"/>
      <c r="AA36" s="39"/>
      <c r="AB36" s="39"/>
    </row>
    <row r="37" spans="2:28">
      <c r="B37" t="s">
        <v>33</v>
      </c>
      <c r="C37" s="4">
        <f>MAX(C8:C9)</f>
        <v>18729</v>
      </c>
      <c r="D37" s="4">
        <f t="shared" ref="D37:G37" si="8">MAX(D8:D9)</f>
        <v>27941</v>
      </c>
      <c r="E37" s="4">
        <f t="shared" si="8"/>
        <v>1660</v>
      </c>
      <c r="F37" s="4">
        <f t="shared" si="8"/>
        <v>911</v>
      </c>
      <c r="G37" s="4">
        <f t="shared" si="8"/>
        <v>26450</v>
      </c>
      <c r="I37" s="11" t="s">
        <v>49</v>
      </c>
      <c r="U37" s="39"/>
      <c r="V37" s="39"/>
      <c r="W37" s="39"/>
      <c r="X37" s="39"/>
      <c r="Y37" s="39"/>
      <c r="Z37" s="39"/>
      <c r="AA37" s="39"/>
      <c r="AB37" s="39"/>
    </row>
    <row r="38" spans="2:28">
      <c r="B38" t="s">
        <v>34</v>
      </c>
      <c r="C38" s="4">
        <f>MIN(C8:C9)</f>
        <v>14360</v>
      </c>
      <c r="D38" s="4">
        <f t="shared" ref="D38:G38" si="9">MIN(D8:D9)</f>
        <v>26059</v>
      </c>
      <c r="E38" s="4">
        <f t="shared" si="9"/>
        <v>1288</v>
      </c>
      <c r="F38" s="4">
        <f t="shared" si="9"/>
        <v>738</v>
      </c>
      <c r="G38" s="4">
        <f t="shared" si="9"/>
        <v>26208</v>
      </c>
      <c r="U38" s="39"/>
      <c r="V38" s="39"/>
      <c r="W38" s="39"/>
      <c r="X38" s="39"/>
      <c r="Y38" s="39"/>
      <c r="Z38" s="39"/>
    </row>
    <row r="40" spans="2:28">
      <c r="B40" s="9" t="s">
        <v>47</v>
      </c>
    </row>
    <row r="41" spans="2:28">
      <c r="B41" t="s">
        <v>31</v>
      </c>
      <c r="C41" s="4">
        <f>AVERAGE(C10:C12)</f>
        <v>11821</v>
      </c>
      <c r="D41" s="4">
        <f t="shared" ref="D41:G41" si="10">AVERAGE(D10:D12)</f>
        <v>29203</v>
      </c>
      <c r="E41" s="4">
        <f t="shared" si="10"/>
        <v>1461</v>
      </c>
      <c r="F41" s="4">
        <f t="shared" si="10"/>
        <v>810.33333333333337</v>
      </c>
      <c r="G41" s="4">
        <f t="shared" si="10"/>
        <v>26069.333333333332</v>
      </c>
    </row>
    <row r="42" spans="2:28">
      <c r="B42" t="s">
        <v>32</v>
      </c>
      <c r="C42" s="4">
        <f>SUM(C10:C12)</f>
        <v>35463</v>
      </c>
      <c r="D42" s="4">
        <f t="shared" ref="D42:G42" si="11">SUM(D10:D12)</f>
        <v>87609</v>
      </c>
      <c r="E42" s="4">
        <f t="shared" si="11"/>
        <v>4383</v>
      </c>
      <c r="F42" s="4">
        <f t="shared" si="11"/>
        <v>2431</v>
      </c>
      <c r="G42" s="4">
        <f t="shared" si="11"/>
        <v>78208</v>
      </c>
    </row>
    <row r="43" spans="2:28">
      <c r="B43" t="s">
        <v>33</v>
      </c>
      <c r="C43" s="4">
        <f>MAX(C10:C12)</f>
        <v>13595</v>
      </c>
      <c r="D43" s="4">
        <f t="shared" ref="D43:G43" si="12">MAX(D10:D12)</f>
        <v>29839</v>
      </c>
      <c r="E43" s="4">
        <f t="shared" si="12"/>
        <v>1893</v>
      </c>
      <c r="F43" s="4">
        <f t="shared" si="12"/>
        <v>967</v>
      </c>
      <c r="G43" s="4">
        <f t="shared" si="12"/>
        <v>26291</v>
      </c>
    </row>
    <row r="44" spans="2:28">
      <c r="B44" t="s">
        <v>34</v>
      </c>
      <c r="C44" s="4">
        <f>MIN(C10:C12)</f>
        <v>8919</v>
      </c>
      <c r="D44" s="4">
        <f t="shared" ref="D44:G44" si="13">MIN(D10:D12)</f>
        <v>28371</v>
      </c>
      <c r="E44" s="4">
        <f t="shared" si="13"/>
        <v>1165</v>
      </c>
      <c r="F44" s="4">
        <f t="shared" si="13"/>
        <v>697</v>
      </c>
      <c r="G44" s="4">
        <f t="shared" si="13"/>
        <v>25675</v>
      </c>
    </row>
    <row r="46" spans="2:28">
      <c r="B46" s="9" t="s">
        <v>48</v>
      </c>
    </row>
    <row r="47" spans="2:28">
      <c r="B47" s="10" t="s">
        <v>31</v>
      </c>
      <c r="C47" s="4">
        <f>AVERAGE(C13:C14)</f>
        <v>13213.5</v>
      </c>
      <c r="D47" s="4">
        <f t="shared" ref="D47:G47" si="14">AVERAGE(D13:D14)</f>
        <v>30092.5</v>
      </c>
      <c r="E47" s="4">
        <f t="shared" si="14"/>
        <v>1212</v>
      </c>
      <c r="F47" s="4">
        <f t="shared" si="14"/>
        <v>720.5</v>
      </c>
      <c r="G47" s="4">
        <f t="shared" si="14"/>
        <v>26143.5</v>
      </c>
    </row>
    <row r="48" spans="2:28">
      <c r="B48" s="10" t="s">
        <v>32</v>
      </c>
      <c r="C48" s="4">
        <f>SUM(C13:C14)</f>
        <v>26427</v>
      </c>
      <c r="D48" s="4">
        <f t="shared" ref="D48:G48" si="15">SUM(D13:D14)</f>
        <v>60185</v>
      </c>
      <c r="E48" s="4">
        <f t="shared" si="15"/>
        <v>2424</v>
      </c>
      <c r="F48" s="4">
        <f t="shared" si="15"/>
        <v>1441</v>
      </c>
      <c r="G48" s="4">
        <f t="shared" si="15"/>
        <v>52287</v>
      </c>
    </row>
    <row r="49" spans="2:7">
      <c r="B49" s="10" t="s">
        <v>33</v>
      </c>
      <c r="C49" s="4">
        <f>MAX(C13:C14)</f>
        <v>15084</v>
      </c>
      <c r="D49" s="4">
        <f t="shared" ref="D49:G49" si="16">MAX(D13:D14)</f>
        <v>30228</v>
      </c>
      <c r="E49" s="4">
        <f t="shared" si="16"/>
        <v>1306</v>
      </c>
      <c r="F49" s="4">
        <f t="shared" si="16"/>
        <v>771</v>
      </c>
      <c r="G49" s="4">
        <f t="shared" si="16"/>
        <v>26204</v>
      </c>
    </row>
    <row r="50" spans="2:7">
      <c r="B50" s="10" t="s">
        <v>34</v>
      </c>
      <c r="C50" s="4">
        <f>MIN(C13:C14)</f>
        <v>11343</v>
      </c>
      <c r="D50" s="4">
        <f t="shared" ref="D50:G50" si="17">MIN(D13:D14)</f>
        <v>29957</v>
      </c>
      <c r="E50" s="4">
        <f t="shared" si="17"/>
        <v>1118</v>
      </c>
      <c r="F50" s="4">
        <f t="shared" si="17"/>
        <v>670</v>
      </c>
      <c r="G50" s="4">
        <f t="shared" si="17"/>
        <v>26083</v>
      </c>
    </row>
    <row r="52" spans="2:7">
      <c r="B52" s="11" t="s">
        <v>49</v>
      </c>
    </row>
    <row r="53" spans="2:7">
      <c r="B53" s="10" t="s">
        <v>31</v>
      </c>
      <c r="C53" s="4">
        <f>AVERAGE(C15:C16)</f>
        <v>12636</v>
      </c>
      <c r="D53" s="4">
        <f t="shared" ref="D53:G53" si="18">AVERAGE(D15:D16)</f>
        <v>31431.5</v>
      </c>
      <c r="E53" s="4">
        <f t="shared" si="18"/>
        <v>1123.5</v>
      </c>
      <c r="F53" s="4">
        <f t="shared" si="18"/>
        <v>636</v>
      </c>
      <c r="G53" s="4">
        <f t="shared" si="18"/>
        <v>25971</v>
      </c>
    </row>
    <row r="54" spans="2:7">
      <c r="B54" s="10" t="s">
        <v>32</v>
      </c>
      <c r="C54" s="4">
        <f>SUM(C15:C16)</f>
        <v>25272</v>
      </c>
      <c r="D54" s="4">
        <f t="shared" ref="D54:G54" si="19">SUM(D15:D16)</f>
        <v>62863</v>
      </c>
      <c r="E54" s="4">
        <f t="shared" si="19"/>
        <v>2247</v>
      </c>
      <c r="F54" s="4">
        <f t="shared" si="19"/>
        <v>1272</v>
      </c>
      <c r="G54" s="4">
        <f t="shared" si="19"/>
        <v>51942</v>
      </c>
    </row>
    <row r="55" spans="2:7">
      <c r="B55" s="10" t="s">
        <v>33</v>
      </c>
      <c r="C55" s="4">
        <f>MAX(C15:C16)</f>
        <v>13218</v>
      </c>
      <c r="D55" s="4">
        <f t="shared" ref="D55:G55" si="20">MAX(D15:D16)</f>
        <v>31845</v>
      </c>
      <c r="E55" s="4">
        <f t="shared" si="20"/>
        <v>1335</v>
      </c>
      <c r="F55" s="4">
        <f t="shared" si="20"/>
        <v>740</v>
      </c>
      <c r="G55" s="4">
        <f t="shared" si="20"/>
        <v>26096</v>
      </c>
    </row>
    <row r="56" spans="2:7">
      <c r="B56" s="10" t="s">
        <v>34</v>
      </c>
      <c r="C56" s="4">
        <f>MIN(C15:C16)</f>
        <v>12054</v>
      </c>
      <c r="D56" s="4">
        <f t="shared" ref="D56:G56" si="21">MIN(D15:D16)</f>
        <v>31018</v>
      </c>
      <c r="E56" s="4">
        <f t="shared" si="21"/>
        <v>912</v>
      </c>
      <c r="F56" s="4">
        <f t="shared" si="21"/>
        <v>532</v>
      </c>
      <c r="G56" s="4">
        <f t="shared" si="21"/>
        <v>25846</v>
      </c>
    </row>
  </sheetData>
  <mergeCells count="9">
    <mergeCell ref="Z22:Z23"/>
    <mergeCell ref="AA22:AA23"/>
    <mergeCell ref="AB22:AB23"/>
    <mergeCell ref="H2:H4"/>
    <mergeCell ref="H5:H7"/>
    <mergeCell ref="H8:H9"/>
    <mergeCell ref="H10:H12"/>
    <mergeCell ref="H13:H14"/>
    <mergeCell ref="H15:H16"/>
  </mergeCells>
  <hyperlinks>
    <hyperlink ref="B2" r:id="rId1" display="http://basecaller.ciwemb.edu/10x/MB4_count/outs/web_summary.html" xr:uid="{FC5B681E-5418-2347-A6E5-5888B0C96BC3}"/>
    <hyperlink ref="B3" r:id="rId2" display="http://basecaller.ciwemb.edu/10x/qc/MB6-12_count.GRCz11.Ensembl.103/outs/web_summary.html" xr:uid="{8E34ED0A-F4F6-D04B-814B-75AEF59C52EF}"/>
    <hyperlink ref="B8" r:id="rId3" display="http://basecaller.ciwemb.edu/10x/MB5_count/outs/web_summary.html" xr:uid="{2FC85E24-1DDE-A843-9ECF-235F682A7CF0}"/>
    <hyperlink ref="B9" r:id="rId4" display="http://basecaller.ciwemb.edu/10x/MB9_count/outs/web_summary.html" xr:uid="{9E425C3F-6806-0942-8776-6D800B4DAAD3}"/>
    <hyperlink ref="B10" r:id="rId5" display="http://basecaller.ciwemb.edu/10x/MB10_count/outs/web_summary.html" xr:uid="{26D5A782-2000-1E41-B496-44C7DF7105F5}"/>
    <hyperlink ref="B4" r:id="rId6" display="http://basecaller.ciwemb.edu/10x/MB11_count/outs/web_summary.html" xr:uid="{8D7CF2DF-8F61-814B-930D-4AC4F0D3913D}"/>
    <hyperlink ref="B13" r:id="rId7" display="http://basecaller.ciwemb.edu/10x/MB12_count/outs/web_summary.html" xr:uid="{1DB9593D-1D04-2F48-A329-0571BB7015FD}"/>
    <hyperlink ref="B11" r:id="rId8" display="http://basecaller.ciwemb.edu/10x/MB13_count/outs/web_summary.html" xr:uid="{820B2D92-565B-664D-A442-CBC533F0F123}"/>
    <hyperlink ref="B15" r:id="rId9" display="http://basecaller.ciwemb.edu/10x/MB14_count/outs/web_summary.html" xr:uid="{27A8C502-A94B-EB4C-BF25-A1E42B9D86A5}"/>
    <hyperlink ref="B14" r:id="rId10" display="http://basecaller.ciwemb.edu/10x/MB15_count/outs/web_summary.html" xr:uid="{0159C489-3F94-E649-B207-C974C0154BDE}"/>
    <hyperlink ref="B16" r:id="rId11" display="http://basecaller.ciwemb.edu/10x/MB16_count/outs/web_summary.html" xr:uid="{CC4411FD-7FA1-C345-AC36-C533692C565A}"/>
    <hyperlink ref="B5" r:id="rId12" display="http://basecaller.ciwemb.edu/10x/MB24_count/outs/web_summary.html" xr:uid="{C68C99F5-5A52-BB44-A37E-F3C2191D5006}"/>
    <hyperlink ref="B12" r:id="rId13" display="http://basecaller.ciwemb.edu/10x/MB23_count/outs/web_summary.html" xr:uid="{88E06BFA-4071-AE43-A1C2-136CCE87BC32}"/>
    <hyperlink ref="B6" r:id="rId14" display="http://basecaller.ciwemb.edu/10x/MB25_count/outs/web_summary.html" xr:uid="{620BD756-2D81-3D4A-9A0A-AD9B62AB4E56}"/>
    <hyperlink ref="B7" r:id="rId15" display="http://basecaller.ciwemb.edu/10x/MB26_count/outs/web_summary.html" xr:uid="{225738FA-D932-D243-A68E-F1E905A248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F8C9-5CA2-814B-BD6F-53CD707389AF}">
  <dimension ref="A1:H27"/>
  <sheetViews>
    <sheetView workbookViewId="0">
      <selection activeCell="C6" sqref="C6"/>
    </sheetView>
  </sheetViews>
  <sheetFormatPr baseColWidth="10" defaultRowHeight="16"/>
  <cols>
    <col min="2" max="6" width="18.83203125" customWidth="1"/>
  </cols>
  <sheetData>
    <row r="1" spans="1:8" ht="43">
      <c r="A1" s="1" t="s">
        <v>0</v>
      </c>
      <c r="B1" s="6" t="s">
        <v>27</v>
      </c>
      <c r="C1" s="6" t="s">
        <v>43</v>
      </c>
      <c r="D1" s="6" t="s">
        <v>28</v>
      </c>
      <c r="E1" s="6" t="s">
        <v>29</v>
      </c>
      <c r="F1" s="6" t="s">
        <v>30</v>
      </c>
    </row>
    <row r="2" spans="1:8">
      <c r="A2" s="8" t="s">
        <v>1</v>
      </c>
      <c r="B2" s="2"/>
      <c r="C2" s="2"/>
      <c r="D2" s="2"/>
      <c r="E2" s="2"/>
      <c r="F2" s="2"/>
      <c r="G2" s="2" t="s">
        <v>35</v>
      </c>
    </row>
    <row r="3" spans="1:8">
      <c r="A3" s="7" t="s">
        <v>2</v>
      </c>
      <c r="B3" s="2">
        <v>240</v>
      </c>
      <c r="C3" s="5">
        <v>288973</v>
      </c>
      <c r="D3" s="2">
        <v>162</v>
      </c>
      <c r="E3" s="2">
        <v>14974</v>
      </c>
      <c r="F3" s="2">
        <v>682</v>
      </c>
      <c r="G3" s="2" t="s">
        <v>35</v>
      </c>
      <c r="H3" s="2">
        <v>2744</v>
      </c>
    </row>
    <row r="4" spans="1:8">
      <c r="A4" s="7" t="s">
        <v>3</v>
      </c>
      <c r="B4" s="2">
        <v>92</v>
      </c>
      <c r="C4" s="5">
        <v>781278</v>
      </c>
      <c r="D4" s="2">
        <v>841</v>
      </c>
      <c r="E4" s="2">
        <v>15192</v>
      </c>
      <c r="F4" s="2">
        <v>2308</v>
      </c>
      <c r="G4" s="2" t="s">
        <v>35</v>
      </c>
      <c r="H4" s="2">
        <v>2875</v>
      </c>
    </row>
    <row r="5" spans="1:8">
      <c r="A5" s="3" t="s">
        <v>4</v>
      </c>
      <c r="B5" s="5">
        <v>15313</v>
      </c>
      <c r="C5" s="5">
        <v>34752</v>
      </c>
      <c r="D5" s="5">
        <v>1137</v>
      </c>
      <c r="E5" s="2">
        <v>663</v>
      </c>
      <c r="F5" s="5">
        <v>26157</v>
      </c>
      <c r="G5" s="2" t="s">
        <v>35</v>
      </c>
    </row>
    <row r="6" spans="1:8">
      <c r="A6" s="3" t="s">
        <v>5</v>
      </c>
      <c r="B6" s="5">
        <v>17941</v>
      </c>
      <c r="C6" s="5">
        <v>27535</v>
      </c>
      <c r="D6" s="5">
        <v>1484</v>
      </c>
      <c r="E6" s="2">
        <v>789</v>
      </c>
      <c r="F6" s="5">
        <v>26334</v>
      </c>
      <c r="G6" s="2" t="s">
        <v>36</v>
      </c>
    </row>
    <row r="7" spans="1:8">
      <c r="A7" s="3" t="s">
        <v>6</v>
      </c>
      <c r="B7" s="5">
        <v>18729</v>
      </c>
      <c r="C7" s="5">
        <v>27941</v>
      </c>
      <c r="D7" s="5">
        <v>1660</v>
      </c>
      <c r="E7" s="2">
        <v>911</v>
      </c>
      <c r="F7" s="5">
        <v>26450</v>
      </c>
      <c r="G7" s="2" t="s">
        <v>37</v>
      </c>
    </row>
    <row r="8" spans="1:8">
      <c r="A8" s="7" t="s">
        <v>7</v>
      </c>
      <c r="B8" s="5">
        <v>2694</v>
      </c>
      <c r="C8" s="5">
        <v>92750</v>
      </c>
      <c r="D8" s="2">
        <v>545</v>
      </c>
      <c r="E8" s="2">
        <v>346</v>
      </c>
      <c r="F8" s="5">
        <v>22330</v>
      </c>
      <c r="G8" s="2" t="s">
        <v>37</v>
      </c>
      <c r="H8">
        <v>9995</v>
      </c>
    </row>
    <row r="9" spans="1:8">
      <c r="A9" s="7" t="s">
        <v>8</v>
      </c>
      <c r="B9" s="5">
        <v>1967</v>
      </c>
      <c r="C9" s="5">
        <v>125062</v>
      </c>
      <c r="D9" s="2">
        <v>762</v>
      </c>
      <c r="E9" s="2">
        <v>483</v>
      </c>
      <c r="F9" s="5">
        <v>23069</v>
      </c>
      <c r="G9" s="2" t="s">
        <v>38</v>
      </c>
      <c r="H9">
        <v>9840</v>
      </c>
    </row>
    <row r="10" spans="1:8">
      <c r="A10" s="3" t="s">
        <v>9</v>
      </c>
      <c r="B10" s="5">
        <v>14360</v>
      </c>
      <c r="C10" s="5">
        <v>26059</v>
      </c>
      <c r="D10" s="5">
        <v>1288</v>
      </c>
      <c r="E10" s="2">
        <v>738</v>
      </c>
      <c r="F10" s="5">
        <v>26208</v>
      </c>
      <c r="G10" s="2" t="s">
        <v>37</v>
      </c>
    </row>
    <row r="11" spans="1:8">
      <c r="A11" s="3" t="s">
        <v>10</v>
      </c>
      <c r="B11" s="5">
        <v>8919</v>
      </c>
      <c r="C11" s="5">
        <v>29399</v>
      </c>
      <c r="D11" s="5">
        <v>1165</v>
      </c>
      <c r="E11" s="2">
        <v>697</v>
      </c>
      <c r="F11" s="5">
        <v>25675</v>
      </c>
      <c r="G11" s="2" t="s">
        <v>38</v>
      </c>
    </row>
    <row r="12" spans="1:8">
      <c r="A12" s="3" t="s">
        <v>11</v>
      </c>
      <c r="B12" s="5">
        <v>10711</v>
      </c>
      <c r="C12" s="5">
        <v>29825</v>
      </c>
      <c r="D12" s="5">
        <v>1179</v>
      </c>
      <c r="E12" s="2">
        <v>706</v>
      </c>
      <c r="F12" s="5">
        <v>26030</v>
      </c>
      <c r="G12" s="2" t="s">
        <v>36</v>
      </c>
    </row>
    <row r="13" spans="1:8">
      <c r="A13" s="3" t="s">
        <v>12</v>
      </c>
      <c r="B13" s="5">
        <v>11343</v>
      </c>
      <c r="C13" s="5">
        <v>29957</v>
      </c>
      <c r="D13" s="5">
        <v>1306</v>
      </c>
      <c r="E13" s="2">
        <v>771</v>
      </c>
      <c r="F13" s="5">
        <v>26083</v>
      </c>
      <c r="G13" s="2" t="s">
        <v>39</v>
      </c>
    </row>
    <row r="14" spans="1:8">
      <c r="A14" s="3" t="s">
        <v>13</v>
      </c>
      <c r="B14" s="5">
        <v>12949</v>
      </c>
      <c r="C14" s="5">
        <v>29839</v>
      </c>
      <c r="D14" s="5">
        <v>1325</v>
      </c>
      <c r="E14" s="2">
        <v>767</v>
      </c>
      <c r="F14" s="5">
        <v>26242</v>
      </c>
      <c r="G14" s="2" t="s">
        <v>38</v>
      </c>
    </row>
    <row r="15" spans="1:8">
      <c r="A15" s="3" t="s">
        <v>14</v>
      </c>
      <c r="B15" s="5">
        <v>12054</v>
      </c>
      <c r="C15" s="5">
        <v>31845</v>
      </c>
      <c r="D15" s="5">
        <v>1335</v>
      </c>
      <c r="E15" s="2">
        <v>740</v>
      </c>
      <c r="F15" s="5">
        <v>26096</v>
      </c>
      <c r="G15" s="2" t="s">
        <v>40</v>
      </c>
    </row>
    <row r="16" spans="1:8">
      <c r="A16" s="3" t="s">
        <v>15</v>
      </c>
      <c r="B16" s="5">
        <v>15084</v>
      </c>
      <c r="C16" s="5">
        <v>30228</v>
      </c>
      <c r="D16" s="5">
        <v>1118</v>
      </c>
      <c r="E16" s="2">
        <v>670</v>
      </c>
      <c r="F16" s="5">
        <v>26204</v>
      </c>
      <c r="G16" s="2" t="s">
        <v>39</v>
      </c>
    </row>
    <row r="17" spans="1:7">
      <c r="A17" s="3" t="s">
        <v>16</v>
      </c>
      <c r="B17" s="5">
        <v>13218</v>
      </c>
      <c r="C17" s="5">
        <v>31018</v>
      </c>
      <c r="D17" s="2">
        <v>912</v>
      </c>
      <c r="E17" s="2">
        <v>532</v>
      </c>
      <c r="F17" s="5">
        <v>25846</v>
      </c>
      <c r="G17" s="2" t="s">
        <v>40</v>
      </c>
    </row>
    <row r="18" spans="1:7">
      <c r="A18" s="8" t="s">
        <v>17</v>
      </c>
      <c r="B18" s="2"/>
      <c r="C18" s="2"/>
      <c r="D18" s="2"/>
      <c r="E18" s="2"/>
      <c r="F18" s="2"/>
      <c r="G18" s="2" t="s">
        <v>41</v>
      </c>
    </row>
    <row r="19" spans="1:7">
      <c r="A19" s="8" t="s">
        <v>18</v>
      </c>
      <c r="B19" s="2"/>
      <c r="C19" s="2"/>
      <c r="D19" s="2"/>
      <c r="E19" s="2"/>
      <c r="F19" s="2"/>
      <c r="G19" s="2" t="s">
        <v>41</v>
      </c>
    </row>
    <row r="20" spans="1:7">
      <c r="A20" s="8" t="s">
        <v>19</v>
      </c>
      <c r="B20" s="2"/>
      <c r="C20" s="2"/>
      <c r="D20" s="2"/>
      <c r="E20" s="2"/>
      <c r="F20" s="2"/>
      <c r="G20" s="2" t="s">
        <v>41</v>
      </c>
    </row>
    <row r="21" spans="1:7">
      <c r="A21" s="8" t="s">
        <v>20</v>
      </c>
      <c r="B21" s="2"/>
      <c r="C21" s="2"/>
      <c r="D21" s="2"/>
      <c r="E21" s="2"/>
      <c r="F21" s="2"/>
      <c r="G21" s="2" t="s">
        <v>41</v>
      </c>
    </row>
    <row r="22" spans="1:7">
      <c r="A22" s="7" t="s">
        <v>21</v>
      </c>
      <c r="B22" s="5">
        <v>1815</v>
      </c>
      <c r="C22" s="5">
        <v>17936</v>
      </c>
      <c r="D22" s="2">
        <v>215</v>
      </c>
      <c r="E22" s="5">
        <v>20456</v>
      </c>
      <c r="F22" s="2">
        <v>312</v>
      </c>
      <c r="G22" s="2" t="s">
        <v>41</v>
      </c>
    </row>
    <row r="23" spans="1:7">
      <c r="A23" s="7" t="s">
        <v>22</v>
      </c>
      <c r="B23" s="5">
        <v>1648</v>
      </c>
      <c r="C23" s="5">
        <v>18588</v>
      </c>
      <c r="D23" s="2">
        <v>217</v>
      </c>
      <c r="E23" s="5">
        <v>20452</v>
      </c>
      <c r="F23" s="2">
        <v>326</v>
      </c>
      <c r="G23" s="2" t="s">
        <v>41</v>
      </c>
    </row>
    <row r="24" spans="1:7">
      <c r="A24" s="3" t="s">
        <v>23</v>
      </c>
      <c r="B24" s="5">
        <v>7143</v>
      </c>
      <c r="C24" s="5">
        <v>27735</v>
      </c>
      <c r="D24" s="5">
        <v>1405</v>
      </c>
      <c r="E24" s="2">
        <v>787</v>
      </c>
      <c r="F24" s="5">
        <v>25654</v>
      </c>
      <c r="G24" s="2" t="s">
        <v>41</v>
      </c>
    </row>
    <row r="25" spans="1:7">
      <c r="A25" s="3" t="s">
        <v>24</v>
      </c>
      <c r="B25" s="5">
        <v>13595</v>
      </c>
      <c r="C25" s="5">
        <v>28371</v>
      </c>
      <c r="D25" s="5">
        <v>1893</v>
      </c>
      <c r="E25" s="2">
        <v>967</v>
      </c>
      <c r="F25" s="5">
        <v>26291</v>
      </c>
      <c r="G25" s="2" t="s">
        <v>38</v>
      </c>
    </row>
    <row r="26" spans="1:7">
      <c r="A26" s="3" t="s">
        <v>25</v>
      </c>
      <c r="B26" s="5">
        <v>13755</v>
      </c>
      <c r="C26" s="5">
        <v>28287</v>
      </c>
      <c r="D26" s="5">
        <v>1575</v>
      </c>
      <c r="E26" s="2">
        <v>862</v>
      </c>
      <c r="F26" s="5">
        <v>26395</v>
      </c>
      <c r="G26" s="2" t="s">
        <v>41</v>
      </c>
    </row>
    <row r="27" spans="1:7">
      <c r="A27" s="3" t="s">
        <v>26</v>
      </c>
      <c r="B27" s="5">
        <v>17831</v>
      </c>
      <c r="C27" s="5">
        <v>26973</v>
      </c>
      <c r="D27" s="5">
        <v>1532</v>
      </c>
      <c r="E27" s="2">
        <v>842</v>
      </c>
      <c r="F27" s="5">
        <v>26395</v>
      </c>
      <c r="G27" s="2" t="s">
        <v>41</v>
      </c>
    </row>
  </sheetData>
  <hyperlinks>
    <hyperlink ref="A3" r:id="rId1" display="http://basecaller.ciwemb.edu/10x/MB2_count/outs/web_summary.html" xr:uid="{A61348FE-5908-B74A-B2A4-A5B02945530B}"/>
    <hyperlink ref="A4" r:id="rId2" display="http://basecaller.ciwemb.edu/10x/MB3_count/outs/web_summary.html" xr:uid="{308C0615-DB90-A94E-976F-2EA3E49D42E8}"/>
    <hyperlink ref="A5" r:id="rId3" display="http://basecaller.ciwemb.edu/10x/MB4_count/outs/web_summary.html" xr:uid="{703A2961-3F4F-0B45-AF34-F5BB13EF4A2C}"/>
    <hyperlink ref="A6" r:id="rId4" display="http://basecaller.ciwemb.edu/10x/qc/MB6-12_count.GRCz11.Ensembl.103/outs/web_summary.html" xr:uid="{F355EBD1-2282-AA43-8392-8E09CE7F3D66}"/>
    <hyperlink ref="A7" r:id="rId5" display="http://basecaller.ciwemb.edu/10x/MB5_count/outs/web_summary.html" xr:uid="{3D125763-8239-7547-875E-9E9A53B6F3F5}"/>
    <hyperlink ref="A8" r:id="rId6" display="http://basecaller.ciwemb.edu/10x/MB7_count/outs/web_summary.html" xr:uid="{88F4D270-DE64-7341-B933-5C35C8BBA817}"/>
    <hyperlink ref="A9" r:id="rId7" display="http://basecaller.ciwemb.edu/10x/MB8_count/outs/web_summary.html" xr:uid="{D80FAA17-1229-9D41-B204-ADAD11F21AE5}"/>
    <hyperlink ref="A10" r:id="rId8" display="http://basecaller.ciwemb.edu/10x/MB9_count/outs/web_summary.html" xr:uid="{0D4F96B7-3C32-3D46-9E86-52EB0AA3356E}"/>
    <hyperlink ref="A11" r:id="rId9" display="http://basecaller.ciwemb.edu/10x/MB10_count/outs/web_summary.html" xr:uid="{B6FDEEEA-BFE8-CF44-89CE-2688DAC13173}"/>
    <hyperlink ref="A12" r:id="rId10" display="http://basecaller.ciwemb.edu/10x/MB11_count/outs/web_summary.html" xr:uid="{8C99AB86-77FF-F744-9762-F587F819ED39}"/>
    <hyperlink ref="A13" r:id="rId11" display="http://basecaller.ciwemb.edu/10x/MB12_count/outs/web_summary.html" xr:uid="{E24C2BCD-CC56-7248-80F6-D0A80514DAA5}"/>
    <hyperlink ref="A14" r:id="rId12" display="http://basecaller.ciwemb.edu/10x/MB13_count/outs/web_summary.html" xr:uid="{9D84B779-855D-D844-9739-DCB9A5BE0EC0}"/>
    <hyperlink ref="A15" r:id="rId13" display="http://basecaller.ciwemb.edu/10x/MB14_count/outs/web_summary.html" xr:uid="{3C5BD2BB-F3D9-4E44-8455-7EFEFE911D30}"/>
    <hyperlink ref="A16" r:id="rId14" display="http://basecaller.ciwemb.edu/10x/MB15_count/outs/web_summary.html" xr:uid="{205387BB-863B-5244-B03C-AAD931479973}"/>
    <hyperlink ref="A17" r:id="rId15" display="http://basecaller.ciwemb.edu/10x/MB16_count/outs/web_summary.html" xr:uid="{01DFA05C-0DED-B34F-8953-F9447D3FDB96}"/>
    <hyperlink ref="A22" r:id="rId16" display="http://basecaller.ciwemb.edu/10x/qc/MB21-1_count/outs/web_summary.html" xr:uid="{7B529FFA-298D-0D47-A15B-DDB7F6E79829}"/>
    <hyperlink ref="A23" r:id="rId17" display="http://basecaller.ciwemb.edu/10x/qc/MB22-1_count/outs/web_summary.html" xr:uid="{BAACC980-B1C7-F446-9953-BE63098FFFCD}"/>
    <hyperlink ref="A24" r:id="rId18" display="http://basecaller.ciwemb.edu/10x/MB24_count/outs/web_summary.html" xr:uid="{27A6CE89-41F8-C14D-8922-3A01F8F8F0ED}"/>
    <hyperlink ref="A25" r:id="rId19" display="http://basecaller.ciwemb.edu/10x/MB23_count/outs/web_summary.html" xr:uid="{FF8D6487-3A0C-0646-999A-62C49E568279}"/>
    <hyperlink ref="A26" r:id="rId20" display="http://basecaller.ciwemb.edu/10x/MB25_count/outs/web_summary.html" xr:uid="{B337EA91-5CFB-774F-A528-3DFD962CA079}"/>
    <hyperlink ref="A27" r:id="rId21" display="http://basecaller.ciwemb.edu/10x/MB26_count/outs/web_summary.html" xr:uid="{D06DC8BE-6319-124C-8920-A86CC82BCC0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A8D01A0FF9634DB9EFCC8DB434C250" ma:contentTypeVersion="13" ma:contentTypeDescription="Create a new document." ma:contentTypeScope="" ma:versionID="c80a4892fb4f71f32cde23d159eac728">
  <xsd:schema xmlns:xsd="http://www.w3.org/2001/XMLSchema" xmlns:xs="http://www.w3.org/2001/XMLSchema" xmlns:p="http://schemas.microsoft.com/office/2006/metadata/properties" xmlns:ns2="f6c6ccbd-788d-45f7-ad1a-adfb240cb0a6" xmlns:ns3="4f8930c7-6a4d-4434-ac67-2594913ad2f7" targetNamespace="http://schemas.microsoft.com/office/2006/metadata/properties" ma:root="true" ma:fieldsID="83628a1c4b7e3c348e7a2dad63356239" ns2:_="" ns3:_="">
    <xsd:import namespace="f6c6ccbd-788d-45f7-ad1a-adfb240cb0a6"/>
    <xsd:import namespace="4f8930c7-6a4d-4434-ac67-2594913ad2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c6ccbd-788d-45f7-ad1a-adfb240cb0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3f7c956-802a-45ac-b2ba-cc78506785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8930c7-6a4d-4434-ac67-2594913ad2f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e3fec2-a42d-4cba-80a3-efa18cbb0297}" ma:internalName="TaxCatchAll" ma:showField="CatchAllData" ma:web="4f8930c7-6a4d-4434-ac67-2594913ad2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8930c7-6a4d-4434-ac67-2594913ad2f7" xsi:nil="true"/>
    <lcf76f155ced4ddcb4097134ff3c332f xmlns="f6c6ccbd-788d-45f7-ad1a-adfb240cb0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C1DA4C-74E6-465F-A363-FE4173DD22DD}"/>
</file>

<file path=customXml/itemProps2.xml><?xml version="1.0" encoding="utf-8"?>
<ds:datastoreItem xmlns:ds="http://schemas.openxmlformats.org/officeDocument/2006/customXml" ds:itemID="{D0109445-8977-4D75-A832-DC6B265C874B}"/>
</file>

<file path=customXml/itemProps3.xml><?xml version="1.0" encoding="utf-8"?>
<ds:datastoreItem xmlns:ds="http://schemas.openxmlformats.org/officeDocument/2006/customXml" ds:itemID="{9374CE0D-349C-4F38-9764-C5896CBC0F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Nuclei stats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Biederman</dc:creator>
  <cp:lastModifiedBy>Michelle Biederman</cp:lastModifiedBy>
  <dcterms:created xsi:type="dcterms:W3CDTF">2025-10-29T16:01:58Z</dcterms:created>
  <dcterms:modified xsi:type="dcterms:W3CDTF">2025-11-07T22:09:43Z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0x010100D1A8D01A0FF9634DB9EFCC8DB434C250</vt:lpwstr>
  </property>
</Properties>
</file>