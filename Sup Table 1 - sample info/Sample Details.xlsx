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Z:\Labs\Farber_Lab\Farber_Lab_Public\snRNA-seq\atlas paper figures\Sup Table 1 - sample info\"/>
    </mc:Choice>
  </mc:AlternateContent>
  <xr:revisionPtr revIDLastSave="0" documentId="13_ncr:1_{EDEB1D44-0DB7-4003-AED0-4EED6877C3BF}" xr6:coauthVersionLast="47" xr6:coauthVersionMax="47" xr10:uidLastSave="{00000000-0000-0000-0000-000000000000}"/>
  <bookViews>
    <workbookView xWindow="-3852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" i="1" l="1"/>
  <c r="K19" i="1"/>
  <c r="J19" i="1"/>
  <c r="G19" i="1"/>
  <c r="F19" i="1"/>
  <c r="I19" i="1"/>
  <c r="E19" i="1"/>
</calcChain>
</file>

<file path=xl/sharedStrings.xml><?xml version="1.0" encoding="utf-8"?>
<sst xmlns="http://schemas.openxmlformats.org/spreadsheetml/2006/main" count="75" uniqueCount="55">
  <si>
    <t>Original Identifier</t>
  </si>
  <si>
    <t>Condition</t>
  </si>
  <si>
    <t>Figure Sample Name</t>
  </si>
  <si>
    <t># of Cells</t>
  </si>
  <si>
    <t>Median UMI/Cell</t>
  </si>
  <si>
    <t>Median Genes/Cell</t>
  </si>
  <si>
    <t>Total Genes Detected</t>
  </si>
  <si>
    <t>Unfiltered from Cell Ranger</t>
  </si>
  <si>
    <t>Median Gene/Cell</t>
  </si>
  <si>
    <t>Values in Final Atlas</t>
  </si>
  <si>
    <t>MB4</t>
  </si>
  <si>
    <t>MB6</t>
  </si>
  <si>
    <t>MB11</t>
  </si>
  <si>
    <t>MB24</t>
  </si>
  <si>
    <t>MB25</t>
  </si>
  <si>
    <t>MB26</t>
  </si>
  <si>
    <t>MB5</t>
  </si>
  <si>
    <t>MB9</t>
  </si>
  <si>
    <t>MB10</t>
  </si>
  <si>
    <t>MB13</t>
  </si>
  <si>
    <t>MB23</t>
  </si>
  <si>
    <t>MB12</t>
  </si>
  <si>
    <t>MB15</t>
  </si>
  <si>
    <t>MB14</t>
  </si>
  <si>
    <t>MB16</t>
  </si>
  <si>
    <t>t0-UF</t>
  </si>
  <si>
    <t>t1-15HF</t>
  </si>
  <si>
    <t>t2-30HF</t>
  </si>
  <si>
    <t>t3-60HF</t>
  </si>
  <si>
    <t>t4-120HF</t>
  </si>
  <si>
    <t>t5-240HF</t>
  </si>
  <si>
    <t>Feeding Length</t>
  </si>
  <si>
    <t>Unfed</t>
  </si>
  <si>
    <t>15 min</t>
  </si>
  <si>
    <t>30 min</t>
  </si>
  <si>
    <t>1 h</t>
  </si>
  <si>
    <t>2 h</t>
  </si>
  <si>
    <t>4 h</t>
  </si>
  <si>
    <t>t0-UF-1</t>
  </si>
  <si>
    <t>t2-30HF-1</t>
  </si>
  <si>
    <t>t3-60HF-1</t>
  </si>
  <si>
    <t>t4-120HF-1</t>
  </si>
  <si>
    <t>t5-240HF-1</t>
  </si>
  <si>
    <t>t0-UF-2</t>
  </si>
  <si>
    <t>t0-UF-3</t>
  </si>
  <si>
    <t>t1-15HF -1</t>
  </si>
  <si>
    <t>t1-15HF -2</t>
  </si>
  <si>
    <t>t1-15HF -3</t>
  </si>
  <si>
    <t>t2-30HF-2</t>
  </si>
  <si>
    <t>t3-60HF-2</t>
  </si>
  <si>
    <t>t3-60HF-3</t>
  </si>
  <si>
    <t>t4-120HF-2</t>
  </si>
  <si>
    <t>t5-240HF-2</t>
  </si>
  <si>
    <t>Table S1: Details of Collected Samples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</si>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</sst>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/>
    <xf numFmtId="3" fontId="0" fillId="0" borderId="1" xfId="0" applyNumberFormat="1" applyBorder="1"/>
    <xf numFmtId="4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Fill="1" applyBorder="1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tabSelected="1" workbookViewId="0">
      <selection activeCell="I20" sqref="I20"/>
    </sheetView>
  </sheetViews>
  <sheetFormatPr defaultRowHeight="14.4" x14ac:dyDescent="0.3"/>
  <cols>
    <col min="1" max="1" width="10.77734375" customWidth="1"/>
    <col min="3" max="4" width="9.88671875" customWidth="1"/>
    <col min="6" max="6" width="11" bestFit="1" customWidth="1"/>
    <col min="7" max="7" width="11" customWidth="1"/>
    <col min="10" max="10" width="9.6640625" bestFit="1" customWidth="1"/>
    <col min="11" max="11" width="8.5546875" bestFit="1" customWidth="1"/>
  </cols>
  <sheetData>
    <row r="1" spans="1:11" x14ac:dyDescent="0.3">
      <c r="A1" t="s">
        <v>53</v>
      </c>
    </row>
    <row r="2" spans="1:11" x14ac:dyDescent="0.3">
      <c r="A2" s="6" t="s">
        <v>2</v>
      </c>
      <c r="B2" s="6" t="s">
        <v>0</v>
      </c>
      <c r="C2" s="6" t="s">
        <v>1</v>
      </c>
      <c r="D2" s="6" t="s">
        <v>31</v>
      </c>
      <c r="E2" s="5" t="s">
        <v>7</v>
      </c>
      <c r="F2" s="5"/>
      <c r="G2" s="5"/>
      <c r="H2" s="5"/>
      <c r="I2" s="5" t="s">
        <v>9</v>
      </c>
      <c r="J2" s="5"/>
      <c r="K2" s="5"/>
    </row>
    <row r="3" spans="1:11" ht="30" customHeight="1" x14ac:dyDescent="0.3">
      <c r="A3" s="6"/>
      <c r="B3" s="6"/>
      <c r="C3" s="6"/>
      <c r="D3" s="6"/>
      <c r="E3" s="1" t="s">
        <v>3</v>
      </c>
      <c r="F3" s="1" t="s">
        <v>4</v>
      </c>
      <c r="G3" s="1" t="s">
        <v>5</v>
      </c>
      <c r="H3" s="1" t="s">
        <v>6</v>
      </c>
      <c r="I3" s="1" t="s">
        <v>3</v>
      </c>
      <c r="J3" s="1" t="s">
        <v>8</v>
      </c>
      <c r="K3" s="1" t="s">
        <v>4</v>
      </c>
    </row>
    <row r="4" spans="1:11" x14ac:dyDescent="0.3">
      <c r="A4" s="2" t="s">
        <v>38</v>
      </c>
      <c r="B4" s="2" t="s">
        <v>10</v>
      </c>
      <c r="C4" s="2" t="s">
        <v>25</v>
      </c>
      <c r="D4" s="2" t="s">
        <v>32</v>
      </c>
      <c r="E4" s="3">
        <v>15313</v>
      </c>
      <c r="F4" s="3">
        <v>1137</v>
      </c>
      <c r="G4" s="2">
        <v>663</v>
      </c>
      <c r="H4" s="3">
        <v>26157</v>
      </c>
      <c r="I4" s="3">
        <v>13767</v>
      </c>
      <c r="J4" s="2">
        <v>642</v>
      </c>
      <c r="K4" s="3">
        <v>1084</v>
      </c>
    </row>
    <row r="5" spans="1:11" x14ac:dyDescent="0.3">
      <c r="A5" s="2" t="s">
        <v>43</v>
      </c>
      <c r="B5" s="2" t="s">
        <v>11</v>
      </c>
      <c r="C5" s="2" t="s">
        <v>25</v>
      </c>
      <c r="D5" s="2" t="s">
        <v>32</v>
      </c>
      <c r="E5" s="3">
        <v>17941</v>
      </c>
      <c r="F5" s="3">
        <v>1484</v>
      </c>
      <c r="G5" s="2">
        <v>789</v>
      </c>
      <c r="H5" s="3">
        <v>26334</v>
      </c>
      <c r="I5" s="3">
        <v>16173</v>
      </c>
      <c r="J5" s="2">
        <v>762</v>
      </c>
      <c r="K5" s="3">
        <v>1382</v>
      </c>
    </row>
    <row r="6" spans="1:11" x14ac:dyDescent="0.3">
      <c r="A6" s="2" t="s">
        <v>44</v>
      </c>
      <c r="B6" s="2" t="s">
        <v>12</v>
      </c>
      <c r="C6" s="2" t="s">
        <v>25</v>
      </c>
      <c r="D6" s="2" t="s">
        <v>32</v>
      </c>
      <c r="E6" s="2">
        <v>10711</v>
      </c>
      <c r="F6" s="3">
        <v>1179</v>
      </c>
      <c r="G6" s="2">
        <v>706</v>
      </c>
      <c r="H6" s="3">
        <v>26030</v>
      </c>
      <c r="I6" s="3">
        <v>9745</v>
      </c>
      <c r="J6" s="2">
        <v>695</v>
      </c>
      <c r="K6" s="3">
        <v>1123</v>
      </c>
    </row>
    <row r="7" spans="1:11" x14ac:dyDescent="0.3">
      <c r="A7" s="2" t="s">
        <v>45</v>
      </c>
      <c r="B7" s="2" t="s">
        <v>13</v>
      </c>
      <c r="C7" s="2" t="s">
        <v>26</v>
      </c>
      <c r="D7" s="2" t="s">
        <v>33</v>
      </c>
      <c r="E7" s="3">
        <v>7143</v>
      </c>
      <c r="F7" s="3">
        <v>1405</v>
      </c>
      <c r="G7" s="2">
        <v>787</v>
      </c>
      <c r="H7" s="3">
        <v>25654</v>
      </c>
      <c r="I7" s="3">
        <v>6288</v>
      </c>
      <c r="J7" s="2">
        <v>774</v>
      </c>
      <c r="K7" s="4">
        <v>1231.5</v>
      </c>
    </row>
    <row r="8" spans="1:11" x14ac:dyDescent="0.3">
      <c r="A8" s="2" t="s">
        <v>46</v>
      </c>
      <c r="B8" s="2" t="s">
        <v>14</v>
      </c>
      <c r="C8" s="2" t="s">
        <v>26</v>
      </c>
      <c r="D8" s="2" t="s">
        <v>33</v>
      </c>
      <c r="E8" s="3">
        <v>13755</v>
      </c>
      <c r="F8" s="3">
        <v>1575</v>
      </c>
      <c r="G8" s="2">
        <v>862</v>
      </c>
      <c r="H8" s="3">
        <v>26395</v>
      </c>
      <c r="I8" s="3">
        <v>12296</v>
      </c>
      <c r="J8" s="2">
        <v>821</v>
      </c>
      <c r="K8" s="4">
        <v>1404.5</v>
      </c>
    </row>
    <row r="9" spans="1:11" x14ac:dyDescent="0.3">
      <c r="A9" s="2" t="s">
        <v>47</v>
      </c>
      <c r="B9" s="2" t="s">
        <v>15</v>
      </c>
      <c r="C9" s="2" t="s">
        <v>26</v>
      </c>
      <c r="D9" s="2" t="s">
        <v>33</v>
      </c>
      <c r="E9" s="3">
        <v>17831</v>
      </c>
      <c r="F9" s="3">
        <v>1532</v>
      </c>
      <c r="G9" s="2">
        <v>842</v>
      </c>
      <c r="H9" s="3">
        <v>26395</v>
      </c>
      <c r="I9" s="3">
        <v>15861</v>
      </c>
      <c r="J9" s="2">
        <v>816</v>
      </c>
      <c r="K9" s="3">
        <v>1424</v>
      </c>
    </row>
    <row r="10" spans="1:11" x14ac:dyDescent="0.3">
      <c r="A10" s="2" t="s">
        <v>39</v>
      </c>
      <c r="B10" s="2" t="s">
        <v>16</v>
      </c>
      <c r="C10" s="2" t="s">
        <v>27</v>
      </c>
      <c r="D10" s="2" t="s">
        <v>34</v>
      </c>
      <c r="E10" s="3">
        <v>18729</v>
      </c>
      <c r="F10" s="3">
        <v>1660</v>
      </c>
      <c r="G10" s="2">
        <v>911</v>
      </c>
      <c r="H10" s="3">
        <v>26450</v>
      </c>
      <c r="I10" s="3">
        <v>17268</v>
      </c>
      <c r="J10" s="2">
        <v>887</v>
      </c>
      <c r="K10" s="3">
        <v>1579</v>
      </c>
    </row>
    <row r="11" spans="1:11" x14ac:dyDescent="0.3">
      <c r="A11" s="2" t="s">
        <v>48</v>
      </c>
      <c r="B11" s="2" t="s">
        <v>17</v>
      </c>
      <c r="C11" s="2" t="s">
        <v>27</v>
      </c>
      <c r="D11" s="2" t="s">
        <v>34</v>
      </c>
      <c r="E11" s="3">
        <v>14360</v>
      </c>
      <c r="F11" s="3">
        <v>1288</v>
      </c>
      <c r="G11" s="2">
        <v>738</v>
      </c>
      <c r="H11" s="3">
        <v>26208</v>
      </c>
      <c r="I11" s="3">
        <v>12890</v>
      </c>
      <c r="J11" s="2">
        <v>716</v>
      </c>
      <c r="K11" s="3">
        <v>1210</v>
      </c>
    </row>
    <row r="12" spans="1:11" x14ac:dyDescent="0.3">
      <c r="A12" s="2" t="s">
        <v>40</v>
      </c>
      <c r="B12" s="2" t="s">
        <v>18</v>
      </c>
      <c r="C12" s="2" t="s">
        <v>28</v>
      </c>
      <c r="D12" s="2" t="s">
        <v>35</v>
      </c>
      <c r="E12" s="3">
        <v>8919</v>
      </c>
      <c r="F12" s="3">
        <v>1165</v>
      </c>
      <c r="G12" s="2">
        <v>697</v>
      </c>
      <c r="H12" s="3">
        <v>26675</v>
      </c>
      <c r="I12" s="3">
        <v>8077</v>
      </c>
      <c r="J12" s="2">
        <v>677</v>
      </c>
      <c r="K12" s="3">
        <v>1086</v>
      </c>
    </row>
    <row r="13" spans="1:11" x14ac:dyDescent="0.3">
      <c r="A13" s="2" t="s">
        <v>49</v>
      </c>
      <c r="B13" s="2" t="s">
        <v>19</v>
      </c>
      <c r="C13" s="2" t="s">
        <v>28</v>
      </c>
      <c r="D13" s="2" t="s">
        <v>35</v>
      </c>
      <c r="E13" s="3">
        <v>12949</v>
      </c>
      <c r="F13" s="3">
        <v>1325</v>
      </c>
      <c r="G13" s="2">
        <v>767</v>
      </c>
      <c r="H13" s="3">
        <v>26242</v>
      </c>
      <c r="I13" s="3">
        <v>11788</v>
      </c>
      <c r="J13" s="2">
        <v>749</v>
      </c>
      <c r="K13" s="3">
        <v>1265</v>
      </c>
    </row>
    <row r="14" spans="1:11" x14ac:dyDescent="0.3">
      <c r="A14" s="2" t="s">
        <v>50</v>
      </c>
      <c r="B14" s="2" t="s">
        <v>20</v>
      </c>
      <c r="C14" s="2" t="s">
        <v>28</v>
      </c>
      <c r="D14" s="2" t="s">
        <v>35</v>
      </c>
      <c r="E14" s="3">
        <v>13595</v>
      </c>
      <c r="F14" s="3">
        <v>1893</v>
      </c>
      <c r="G14" s="2">
        <v>967</v>
      </c>
      <c r="H14" s="3">
        <v>26291</v>
      </c>
      <c r="I14" s="3">
        <v>11877</v>
      </c>
      <c r="J14" s="2">
        <v>949</v>
      </c>
      <c r="K14" s="3">
        <v>1705</v>
      </c>
    </row>
    <row r="15" spans="1:11" x14ac:dyDescent="0.3">
      <c r="A15" s="2" t="s">
        <v>41</v>
      </c>
      <c r="B15" s="2" t="s">
        <v>21</v>
      </c>
      <c r="C15" s="2" t="s">
        <v>29</v>
      </c>
      <c r="D15" s="2" t="s">
        <v>36</v>
      </c>
      <c r="E15" s="3">
        <v>11343</v>
      </c>
      <c r="F15" s="3">
        <v>1306</v>
      </c>
      <c r="G15" s="2">
        <v>771</v>
      </c>
      <c r="H15" s="3">
        <v>26083</v>
      </c>
      <c r="I15" s="3">
        <v>10467</v>
      </c>
      <c r="J15" s="2">
        <v>747</v>
      </c>
      <c r="K15" s="3">
        <v>1241</v>
      </c>
    </row>
    <row r="16" spans="1:11" x14ac:dyDescent="0.3">
      <c r="A16" s="2" t="s">
        <v>51</v>
      </c>
      <c r="B16" s="2" t="s">
        <v>22</v>
      </c>
      <c r="C16" s="2" t="s">
        <v>29</v>
      </c>
      <c r="D16" s="2" t="s">
        <v>36</v>
      </c>
      <c r="E16" s="3">
        <v>15084</v>
      </c>
      <c r="F16" s="3">
        <v>1118</v>
      </c>
      <c r="G16" s="2">
        <v>670</v>
      </c>
      <c r="H16" s="3">
        <v>26204</v>
      </c>
      <c r="I16" s="3">
        <v>13802</v>
      </c>
      <c r="J16" s="2">
        <v>653</v>
      </c>
      <c r="K16" s="3">
        <v>1063</v>
      </c>
    </row>
    <row r="17" spans="1:11" x14ac:dyDescent="0.3">
      <c r="A17" s="2" t="s">
        <v>42</v>
      </c>
      <c r="B17" s="2" t="s">
        <v>23</v>
      </c>
      <c r="C17" s="2" t="s">
        <v>30</v>
      </c>
      <c r="D17" s="2" t="s">
        <v>37</v>
      </c>
      <c r="E17" s="3">
        <v>12054</v>
      </c>
      <c r="F17" s="3">
        <v>1335</v>
      </c>
      <c r="G17" s="2">
        <v>740</v>
      </c>
      <c r="H17" s="3">
        <v>26096</v>
      </c>
      <c r="I17" s="3">
        <v>10942</v>
      </c>
      <c r="J17" s="2">
        <v>725</v>
      </c>
      <c r="K17" s="4">
        <v>1257.5</v>
      </c>
    </row>
    <row r="18" spans="1:11" x14ac:dyDescent="0.3">
      <c r="A18" s="2" t="s">
        <v>52</v>
      </c>
      <c r="B18" s="2" t="s">
        <v>24</v>
      </c>
      <c r="C18" s="2" t="s">
        <v>30</v>
      </c>
      <c r="D18" s="2" t="s">
        <v>37</v>
      </c>
      <c r="E18" s="3">
        <v>13218</v>
      </c>
      <c r="F18" s="3">
        <v>912</v>
      </c>
      <c r="G18" s="2">
        <v>532</v>
      </c>
      <c r="H18" s="3">
        <v>25846</v>
      </c>
      <c r="I18" s="3">
        <v>11153</v>
      </c>
      <c r="J18" s="2">
        <v>521</v>
      </c>
      <c r="K18" s="2">
        <v>837</v>
      </c>
    </row>
    <row r="19" spans="1:11" x14ac:dyDescent="0.3">
      <c r="D19" s="7" t="s">
        <v>54</v>
      </c>
      <c r="E19" s="3">
        <f>SUM(E4:E18)</f>
        <v>202945</v>
      </c>
      <c r="F19" s="3">
        <f>SUM(E4*F4, E5*F5,E6*F6, E7*F7, E8*F8, E9*F9, E10*F10,E11*F11, E12*F12, E13*F13, E14*F14, E15*F15, E16*F16, E17*F17, E18*F18)/E19</f>
        <v>1371.6756608933456</v>
      </c>
      <c r="G19" s="8">
        <f>SUM(E4*G4, E5*G5,E6*G6, E7*G7, E8*G8, E9*G9, E10*G10,E11*G11, E12*G12, E13*G13, E14*G14, E15*G15, E16*G16, E17*G17, E18*G18)/E19</f>
        <v>769.27367513365687</v>
      </c>
      <c r="H19" s="3">
        <f>MAX(H4:H18)</f>
        <v>26675</v>
      </c>
      <c r="I19" s="3">
        <f>SUM(I4:I18)</f>
        <v>182394</v>
      </c>
      <c r="J19" s="8">
        <f>SUM(I4*J4, I5*J5,I6*J6, I7*J7, I8*J8, I9*J9, I10*J10,I11*J11, I12*J12, I13*J13, I14*J14, I15*J15, I16*J16, I17*J17, I18*J18)/I19</f>
        <v>748.54056054475473</v>
      </c>
      <c r="K19" s="3">
        <f>SUM(I4*K4, I5*K5,I6*K6, I7*K7, I8*K8, I9*K9, I10*K10,I11*K11, I12*K12, I13*K13, I14*K14, I15*K15, I16*K16, I17*K17, I18*K18)/I19</f>
        <v>1279.4835082294373</v>
      </c>
    </row>
  </sheetData>
  <mergeCells count="6">
    <mergeCell ref="E2:H2"/>
    <mergeCell ref="I2:K2"/>
    <mergeCell ref="A2:A3"/>
    <mergeCell ref="B2:B3"/>
    <mergeCell ref="C2:C3"/>
    <mergeCell ref="D2:D3"/>
  </mergeCells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1A8D01A0FF9634DB9EFCC8DB434C250" ma:contentTypeVersion="13" ma:contentTypeDescription="Create a new document." ma:contentTypeScope="" ma:versionID="c80a4892fb4f71f32cde23d159eac728">
  <xsd:schema xmlns:xsd="http://www.w3.org/2001/XMLSchema" xmlns:xs="http://www.w3.org/2001/XMLSchema" xmlns:p="http://schemas.microsoft.com/office/2006/metadata/properties" xmlns:ns2="f6c6ccbd-788d-45f7-ad1a-adfb240cb0a6" xmlns:ns3="4f8930c7-6a4d-4434-ac67-2594913ad2f7" targetNamespace="http://schemas.microsoft.com/office/2006/metadata/properties" ma:root="true" ma:fieldsID="83628a1c4b7e3c348e7a2dad63356239" ns2:_="" ns3:_="">
    <xsd:import namespace="f6c6ccbd-788d-45f7-ad1a-adfb240cb0a6"/>
    <xsd:import namespace="4f8930c7-6a4d-4434-ac67-2594913ad2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c6ccbd-788d-45f7-ad1a-adfb240cb0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3f7c956-802a-45ac-b2ba-cc78506785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8930c7-6a4d-4434-ac67-2594913ad2f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8e3fec2-a42d-4cba-80a3-efa18cbb0297}" ma:internalName="TaxCatchAll" ma:showField="CatchAllData" ma:web="4f8930c7-6a4d-4434-ac67-2594913ad2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f8930c7-6a4d-4434-ac67-2594913ad2f7" xsi:nil="true"/>
    <lcf76f155ced4ddcb4097134ff3c332f xmlns="f6c6ccbd-788d-45f7-ad1a-adfb240cb0a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2C60968-4B24-4A27-96DE-97773AB0AE0D}"/>
</file>

<file path=customXml/itemProps2.xml><?xml version="1.0" encoding="utf-8"?>
<ds:datastoreItem xmlns:ds="http://schemas.openxmlformats.org/officeDocument/2006/customXml" ds:itemID="{20C9F950-5EE4-4409-B95A-22A15D526BBE}"/>
</file>

<file path=customXml/itemProps3.xml><?xml version="1.0" encoding="utf-8"?>
<ds:datastoreItem xmlns:ds="http://schemas.openxmlformats.org/officeDocument/2006/customXml" ds:itemID="{4A52A912-DB17-4835-B85C-768A7206DD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Catherine Brown</dc:creator>
  <cp:lastModifiedBy>Catherine Brown</cp:lastModifiedBy>
  <dcterms:created xsi:type="dcterms:W3CDTF">2015-06-05T18:17:20Z</dcterms:created>
  <dcterms:modified xsi:type="dcterms:W3CDTF">2026-04-14T20:11:12Z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0x010100D1A8D01A0FF9634DB9EFCC8DB434C250</vt:lpwstr>
  </property>
</Properties>
</file>