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mbieder2_jh_edu/Documents/Farber Lab/Lab Notebook/2020 aka BODIPY feeding/"/>
    </mc:Choice>
  </mc:AlternateContent>
  <xr:revisionPtr revIDLastSave="2" documentId="13_ncr:1_{676F1D6C-8CE2-C84B-B278-F03F0BD0A779}" xr6:coauthVersionLast="47" xr6:coauthVersionMax="47" xr10:uidLastSave="{7B0AA6F3-3F41-8449-8924-2B486A294A1C}"/>
  <bookViews>
    <workbookView xWindow="0" yWindow="760" windowWidth="34560" windowHeight="20400" xr2:uid="{432A8E9F-D76B-5249-A323-C26EED8BE3EE}"/>
  </bookViews>
  <sheets>
    <sheet name="Sheet1" sheetId="1" r:id="rId1"/>
    <sheet name="Sheet1 (2)" sheetId="2" r:id="rId2"/>
  </sheets>
  <definedNames>
    <definedName name="_xlnm._FilterDatabase" localSheetId="0" hidden="1">Sheet1!$A$2:$D$2</definedName>
    <definedName name="_xlnm._FilterDatabase" localSheetId="1" hidden="1">'Sheet1 (2)'!$A$2:$D$2</definedName>
    <definedName name="_xlchart.v1.0" hidden="1">Sheet1!$A$2:$B$82</definedName>
    <definedName name="_xlchart.v1.1" hidden="1">Sheet1!$C$1</definedName>
    <definedName name="_xlchart.v1.2" hidden="1">Sheet1!$C$2:$C$82</definedName>
    <definedName name="_xlchart.v1.3" hidden="1">Sheet1!$A$2:$B$82</definedName>
    <definedName name="_xlchart.v1.4" hidden="1">Sheet1!$C$1</definedName>
    <definedName name="_xlchart.v1.5" hidden="1">Sheet1!$C$2:$C$82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4" i="2" l="1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K6" i="2"/>
  <c r="L6" i="2"/>
  <c r="K7" i="2"/>
  <c r="L7" i="2"/>
  <c r="K8" i="2"/>
  <c r="L8" i="2"/>
  <c r="K9" i="2"/>
  <c r="L9" i="2"/>
  <c r="K10" i="2"/>
  <c r="L10" i="2"/>
  <c r="K11" i="2"/>
  <c r="L1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K5" i="2"/>
  <c r="L5" i="2"/>
  <c r="K4" i="2"/>
  <c r="L4" i="2"/>
  <c r="L3" i="2"/>
  <c r="K3" i="2"/>
  <c r="L2" i="2"/>
  <c r="K2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</calcChain>
</file>

<file path=xl/sharedStrings.xml><?xml version="1.0" encoding="utf-8"?>
<sst xmlns="http://schemas.openxmlformats.org/spreadsheetml/2006/main" count="612" uniqueCount="135">
  <si>
    <t>Feeding</t>
  </si>
  <si>
    <t>15 min EY</t>
  </si>
  <si>
    <t>30 min EY</t>
  </si>
  <si>
    <t>1 Hr EY</t>
  </si>
  <si>
    <t>2 Hr EY</t>
  </si>
  <si>
    <t>Day</t>
  </si>
  <si>
    <t>A</t>
  </si>
  <si>
    <t>B</t>
  </si>
  <si>
    <t>Intensity</t>
  </si>
  <si>
    <t>Unfed</t>
  </si>
  <si>
    <t>---</t>
  </si>
  <si>
    <t>Rcmdr&gt;</t>
  </si>
  <si>
    <t>AnovaModel.4</t>
  </si>
  <si>
    <t>&lt;-</t>
  </si>
  <si>
    <t>aov(Intensity</t>
  </si>
  <si>
    <t>~</t>
  </si>
  <si>
    <t>Feeding,</t>
  </si>
  <si>
    <t>data=X11_22_20)</t>
  </si>
  <si>
    <t>summary(AnovaModel.4)</t>
  </si>
  <si>
    <t>Df</t>
  </si>
  <si>
    <t>Sum</t>
  </si>
  <si>
    <t>Sq</t>
  </si>
  <si>
    <t>Mean</t>
  </si>
  <si>
    <t>F</t>
  </si>
  <si>
    <t>value</t>
  </si>
  <si>
    <t>Pr(&gt;F)</t>
  </si>
  <si>
    <t>***</t>
  </si>
  <si>
    <t>Residuals</t>
  </si>
  <si>
    <t>Signif.</t>
  </si>
  <si>
    <t>codes:</t>
  </si>
  <si>
    <t>'***'</t>
  </si>
  <si>
    <t>'**'</t>
  </si>
  <si>
    <t>'*'</t>
  </si>
  <si>
    <t>'.'</t>
  </si>
  <si>
    <t>'</t>
  </si>
  <si>
    <t>with(X11_22_20,</t>
  </si>
  <si>
    <t>numSummary(Intensity,</t>
  </si>
  <si>
    <t>groups=Feeding,</t>
  </si>
  <si>
    <t>statistics=c("mean",</t>
  </si>
  <si>
    <t>Rcmdr+</t>
  </si>
  <si>
    <t>sd)))</t>
  </si>
  <si>
    <t>mean</t>
  </si>
  <si>
    <t>sd</t>
  </si>
  <si>
    <t>data:n</t>
  </si>
  <si>
    <t>Hr</t>
  </si>
  <si>
    <t>min</t>
  </si>
  <si>
    <t>local({</t>
  </si>
  <si>
    <t>.Pairs</t>
  </si>
  <si>
    <t>glht(AnovaModel.4,</t>
  </si>
  <si>
    <t>linfct</t>
  </si>
  <si>
    <t>=</t>
  </si>
  <si>
    <t>mcp(Feeding</t>
  </si>
  <si>
    <t>Tukey))</t>
  </si>
  <si>
    <t>print(summary(.Pairs))</t>
  </si>
  <si>
    <t>#</t>
  </si>
  <si>
    <t>pairwise</t>
  </si>
  <si>
    <t>tests</t>
  </si>
  <si>
    <t>print(confint(.Pairs,</t>
  </si>
  <si>
    <t>level=0.95))</t>
  </si>
  <si>
    <t>confidence</t>
  </si>
  <si>
    <t>intervals</t>
  </si>
  <si>
    <t>print(cld(.Pairs,</t>
  </si>
  <si>
    <t>level=0.05))</t>
  </si>
  <si>
    <t>compact</t>
  </si>
  <si>
    <t>letter</t>
  </si>
  <si>
    <t>display</t>
  </si>
  <si>
    <t>old.oma</t>
  </si>
  <si>
    <t>par(oma=c(0,</t>
  </si>
  <si>
    <t>5,</t>
  </si>
  <si>
    <t>0,</t>
  </si>
  <si>
    <t>0))</t>
  </si>
  <si>
    <t>plot(confint(.Pairs))</t>
  </si>
  <si>
    <t>par(old.oma)</t>
  </si>
  <si>
    <t>})</t>
  </si>
  <si>
    <t xml:space="preserve">	</t>
  </si>
  <si>
    <t>Simultaneous</t>
  </si>
  <si>
    <t>Tests</t>
  </si>
  <si>
    <t>for</t>
  </si>
  <si>
    <t>General</t>
  </si>
  <si>
    <t>Linear</t>
  </si>
  <si>
    <t>Hypotheses</t>
  </si>
  <si>
    <t>Multiple</t>
  </si>
  <si>
    <t>Comparisons</t>
  </si>
  <si>
    <t>of</t>
  </si>
  <si>
    <t>Means:</t>
  </si>
  <si>
    <t>Tukey</t>
  </si>
  <si>
    <t>Contrasts</t>
  </si>
  <si>
    <t>Fit:</t>
  </si>
  <si>
    <t>aov(formula</t>
  </si>
  <si>
    <t>data</t>
  </si>
  <si>
    <t>X11_22_20)</t>
  </si>
  <si>
    <t>Hypotheses:</t>
  </si>
  <si>
    <t>Estimate</t>
  </si>
  <si>
    <t>Std.</t>
  </si>
  <si>
    <t>Error</t>
  </si>
  <si>
    <t>t</t>
  </si>
  <si>
    <t>Pr(&gt;|t|)</t>
  </si>
  <si>
    <t>-</t>
  </si>
  <si>
    <t>==</t>
  </si>
  <si>
    <t>**</t>
  </si>
  <si>
    <t>(Adjusted</t>
  </si>
  <si>
    <t>p</t>
  </si>
  <si>
    <t>values</t>
  </si>
  <si>
    <t>reported</t>
  </si>
  <si>
    <t>--</t>
  </si>
  <si>
    <t>single-step</t>
  </si>
  <si>
    <t>method)</t>
  </si>
  <si>
    <t>Confidence</t>
  </si>
  <si>
    <t>Intervals</t>
  </si>
  <si>
    <t>Quantile</t>
  </si>
  <si>
    <t>family-wise</t>
  </si>
  <si>
    <t>level</t>
  </si>
  <si>
    <t>lwr</t>
  </si>
  <si>
    <t>upr</t>
  </si>
  <si>
    <t>a</t>
  </si>
  <si>
    <t>b</t>
  </si>
  <si>
    <t>&gt;</t>
  </si>
  <si>
    <t>UF vs. 15 min</t>
  </si>
  <si>
    <t>UF vs. 30 min</t>
  </si>
  <si>
    <t>UF vs. 1 hr</t>
  </si>
  <si>
    <t>UF vs. 2 hr</t>
  </si>
  <si>
    <t>15 min vs. 30 min</t>
  </si>
  <si>
    <t>15 min vs. 1 hr</t>
  </si>
  <si>
    <t>15 min vs. 2 hr</t>
  </si>
  <si>
    <t>30 min vs. 1 hr</t>
  </si>
  <si>
    <t>30 min vs. 2 hr</t>
  </si>
  <si>
    <t>1 hr vs. 2 hr</t>
  </si>
  <si>
    <t>a = 0.05</t>
  </si>
  <si>
    <t>4 x a = 0.05</t>
  </si>
  <si>
    <t>10 x a = 0.05</t>
  </si>
  <si>
    <t>UF vs. 2 hr NO</t>
  </si>
  <si>
    <t>15 min vs. 2 hr NO</t>
  </si>
  <si>
    <t>30 min vs. 2 hr NO</t>
  </si>
  <si>
    <t>1 hr vs. 2 hr NO</t>
  </si>
  <si>
    <t>Welsh's t-tests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</si>
</sst>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1" fontId="0" fillId="0" borderId="0" xfId="0" applyNumberFormat="1"/>
    <xf numFmtId="9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2D1C-DDBC-0546-8542-5ACB1EEC1276}">
  <dimension ref="A1:D82"/>
  <sheetViews>
    <sheetView tabSelected="1" topLeftCell="A45" zoomScale="96" zoomScaleNormal="96" workbookViewId="0">
      <selection activeCell="J81" sqref="J81"/>
    </sheetView>
  </sheetViews>
  <sheetFormatPr baseColWidth="10" defaultRowHeight="16" x14ac:dyDescent="0.2"/>
  <sheetData>
    <row r="1" spans="1:4" x14ac:dyDescent="0.2">
      <c r="A1" t="s">
        <v>5</v>
      </c>
      <c r="B1" t="s">
        <v>0</v>
      </c>
      <c r="C1" s="1" t="s">
        <v>8</v>
      </c>
      <c r="D1" s="1"/>
    </row>
    <row r="2" spans="1:4" x14ac:dyDescent="0.2">
      <c r="A2" t="s">
        <v>6</v>
      </c>
      <c r="B2" t="s">
        <v>9</v>
      </c>
      <c r="C2" s="2">
        <v>-106004.71625000238</v>
      </c>
    </row>
    <row r="3" spans="1:4" x14ac:dyDescent="0.2">
      <c r="A3" t="s">
        <v>6</v>
      </c>
      <c r="B3" t="s">
        <v>9</v>
      </c>
      <c r="C3" s="2">
        <v>576073.64674999565</v>
      </c>
    </row>
    <row r="4" spans="1:4" x14ac:dyDescent="0.2">
      <c r="A4" t="s">
        <v>6</v>
      </c>
      <c r="B4" t="s">
        <v>9</v>
      </c>
      <c r="C4" s="2">
        <v>-417010.91325000674</v>
      </c>
    </row>
    <row r="5" spans="1:4" x14ac:dyDescent="0.2">
      <c r="A5" t="s">
        <v>6</v>
      </c>
      <c r="B5" t="s">
        <v>9</v>
      </c>
      <c r="C5" s="2">
        <v>-165384.86125000566</v>
      </c>
    </row>
    <row r="6" spans="1:4" x14ac:dyDescent="0.2">
      <c r="A6" t="s">
        <v>6</v>
      </c>
      <c r="B6" t="s">
        <v>9</v>
      </c>
      <c r="C6" s="2">
        <v>-209656.38825000077</v>
      </c>
    </row>
    <row r="7" spans="1:4" x14ac:dyDescent="0.2">
      <c r="A7" t="s">
        <v>6</v>
      </c>
      <c r="B7" t="s">
        <v>9</v>
      </c>
      <c r="C7" s="2">
        <v>318602.72974999994</v>
      </c>
    </row>
    <row r="8" spans="1:4" x14ac:dyDescent="0.2">
      <c r="A8" t="s">
        <v>6</v>
      </c>
      <c r="B8" t="s">
        <v>9</v>
      </c>
      <c r="C8" s="2">
        <v>152029.19074999541</v>
      </c>
    </row>
    <row r="9" spans="1:4" x14ac:dyDescent="0.2">
      <c r="A9" t="s">
        <v>6</v>
      </c>
      <c r="B9" t="s">
        <v>9</v>
      </c>
      <c r="C9" s="2">
        <v>-148648.68825000525</v>
      </c>
    </row>
    <row r="10" spans="1:4" x14ac:dyDescent="0.2">
      <c r="A10" t="s">
        <v>6</v>
      </c>
      <c r="B10" t="s">
        <v>1</v>
      </c>
      <c r="C10" s="2">
        <v>6690690.5971250013</v>
      </c>
    </row>
    <row r="11" spans="1:4" x14ac:dyDescent="0.2">
      <c r="A11" t="s">
        <v>6</v>
      </c>
      <c r="B11" t="s">
        <v>1</v>
      </c>
      <c r="C11" s="2">
        <v>5488593.2491250038</v>
      </c>
    </row>
    <row r="12" spans="1:4" x14ac:dyDescent="0.2">
      <c r="A12" t="s">
        <v>6</v>
      </c>
      <c r="B12" t="s">
        <v>1</v>
      </c>
      <c r="C12" s="2">
        <v>4373667.3061250001</v>
      </c>
    </row>
    <row r="13" spans="1:4" x14ac:dyDescent="0.2">
      <c r="A13" t="s">
        <v>6</v>
      </c>
      <c r="B13" t="s">
        <v>1</v>
      </c>
      <c r="C13" s="2">
        <v>3132959.0461250022</v>
      </c>
    </row>
    <row r="14" spans="1:4" x14ac:dyDescent="0.2">
      <c r="A14" t="s">
        <v>6</v>
      </c>
      <c r="B14" t="s">
        <v>1</v>
      </c>
      <c r="C14" s="2">
        <v>2750842.0291249976</v>
      </c>
    </row>
    <row r="15" spans="1:4" x14ac:dyDescent="0.2">
      <c r="A15" t="s">
        <v>6</v>
      </c>
      <c r="B15" t="s">
        <v>1</v>
      </c>
      <c r="C15" s="2">
        <v>1502425.9171250015</v>
      </c>
    </row>
    <row r="16" spans="1:4" x14ac:dyDescent="0.2">
      <c r="A16" t="s">
        <v>6</v>
      </c>
      <c r="B16" t="s">
        <v>1</v>
      </c>
      <c r="C16" s="2">
        <v>1382160.9061250016</v>
      </c>
    </row>
    <row r="17" spans="1:3" x14ac:dyDescent="0.2">
      <c r="A17" t="s">
        <v>6</v>
      </c>
      <c r="B17" t="s">
        <v>1</v>
      </c>
      <c r="C17" s="2">
        <v>1263779.3551250026</v>
      </c>
    </row>
    <row r="18" spans="1:3" x14ac:dyDescent="0.2">
      <c r="A18" t="s">
        <v>6</v>
      </c>
      <c r="B18" t="s">
        <v>1</v>
      </c>
      <c r="C18" s="2">
        <v>530694.05212499946</v>
      </c>
    </row>
    <row r="19" spans="1:3" x14ac:dyDescent="0.2">
      <c r="A19" t="s">
        <v>6</v>
      </c>
      <c r="B19" t="s">
        <v>2</v>
      </c>
      <c r="C19" s="2">
        <v>10989573.570499994</v>
      </c>
    </row>
    <row r="20" spans="1:3" x14ac:dyDescent="0.2">
      <c r="A20" t="s">
        <v>6</v>
      </c>
      <c r="B20" t="s">
        <v>2</v>
      </c>
      <c r="C20" s="2">
        <v>9372797.8824999928</v>
      </c>
    </row>
    <row r="21" spans="1:3" x14ac:dyDescent="0.2">
      <c r="A21" t="s">
        <v>6</v>
      </c>
      <c r="B21" t="s">
        <v>2</v>
      </c>
      <c r="C21" s="2">
        <v>8574641.111499995</v>
      </c>
    </row>
    <row r="22" spans="1:3" x14ac:dyDescent="0.2">
      <c r="A22" t="s">
        <v>6</v>
      </c>
      <c r="B22" t="s">
        <v>2</v>
      </c>
      <c r="C22" s="2">
        <v>7443685.2924999967</v>
      </c>
    </row>
    <row r="23" spans="1:3" x14ac:dyDescent="0.2">
      <c r="A23" t="s">
        <v>6</v>
      </c>
      <c r="B23" t="s">
        <v>2</v>
      </c>
      <c r="C23" s="2">
        <v>6893919.936499998</v>
      </c>
    </row>
    <row r="24" spans="1:3" x14ac:dyDescent="0.2">
      <c r="A24" t="s">
        <v>6</v>
      </c>
      <c r="B24" t="s">
        <v>2</v>
      </c>
      <c r="C24" s="2">
        <v>5660182.5224999934</v>
      </c>
    </row>
    <row r="25" spans="1:3" x14ac:dyDescent="0.2">
      <c r="A25" t="s">
        <v>6</v>
      </c>
      <c r="B25" t="s">
        <v>2</v>
      </c>
      <c r="C25" s="2">
        <v>3863382.9404999986</v>
      </c>
    </row>
    <row r="26" spans="1:3" x14ac:dyDescent="0.2">
      <c r="A26" t="s">
        <v>6</v>
      </c>
      <c r="B26" t="s">
        <v>2</v>
      </c>
      <c r="C26" s="2">
        <v>1777533.7914999947</v>
      </c>
    </row>
    <row r="27" spans="1:3" x14ac:dyDescent="0.2">
      <c r="A27" t="s">
        <v>6</v>
      </c>
      <c r="B27" t="s">
        <v>2</v>
      </c>
      <c r="C27" s="2">
        <v>1398508.1044999957</v>
      </c>
    </row>
    <row r="28" spans="1:3" x14ac:dyDescent="0.2">
      <c r="A28" t="s">
        <v>6</v>
      </c>
      <c r="B28" t="s">
        <v>3</v>
      </c>
      <c r="C28" s="2">
        <v>17681068.988499999</v>
      </c>
    </row>
    <row r="29" spans="1:3" x14ac:dyDescent="0.2">
      <c r="A29" t="s">
        <v>6</v>
      </c>
      <c r="B29" t="s">
        <v>3</v>
      </c>
      <c r="C29" s="2">
        <v>13064802.671500005</v>
      </c>
    </row>
    <row r="30" spans="1:3" x14ac:dyDescent="0.2">
      <c r="A30" t="s">
        <v>6</v>
      </c>
      <c r="B30" t="s">
        <v>3</v>
      </c>
      <c r="C30" s="2">
        <v>12319976.456500001</v>
      </c>
    </row>
    <row r="31" spans="1:3" x14ac:dyDescent="0.2">
      <c r="A31" t="s">
        <v>6</v>
      </c>
      <c r="B31" t="s">
        <v>3</v>
      </c>
      <c r="C31" s="2">
        <v>8906984.6485000029</v>
      </c>
    </row>
    <row r="32" spans="1:3" x14ac:dyDescent="0.2">
      <c r="A32" t="s">
        <v>6</v>
      </c>
      <c r="B32" t="s">
        <v>3</v>
      </c>
      <c r="C32" s="2">
        <v>7852605.7765000015</v>
      </c>
    </row>
    <row r="33" spans="1:3" x14ac:dyDescent="0.2">
      <c r="A33" t="s">
        <v>6</v>
      </c>
      <c r="B33" t="s">
        <v>3</v>
      </c>
      <c r="C33" s="2">
        <v>7479936.763500005</v>
      </c>
    </row>
    <row r="34" spans="1:3" x14ac:dyDescent="0.2">
      <c r="A34" t="s">
        <v>6</v>
      </c>
      <c r="B34" t="s">
        <v>3</v>
      </c>
      <c r="C34" s="2">
        <v>7402561.3945000023</v>
      </c>
    </row>
    <row r="35" spans="1:3" x14ac:dyDescent="0.2">
      <c r="A35" t="s">
        <v>6</v>
      </c>
      <c r="B35" t="s">
        <v>3</v>
      </c>
      <c r="C35" s="2">
        <v>2558232.738499999</v>
      </c>
    </row>
    <row r="36" spans="1:3" x14ac:dyDescent="0.2">
      <c r="A36" t="s">
        <v>6</v>
      </c>
      <c r="B36" t="s">
        <v>4</v>
      </c>
      <c r="C36" s="2">
        <v>9618806.8242500052</v>
      </c>
    </row>
    <row r="37" spans="1:3" x14ac:dyDescent="0.2">
      <c r="A37" t="s">
        <v>6</v>
      </c>
      <c r="B37" t="s">
        <v>4</v>
      </c>
      <c r="C37" s="2">
        <v>85003717.863250002</v>
      </c>
    </row>
    <row r="38" spans="1:3" x14ac:dyDescent="0.2">
      <c r="A38" t="s">
        <v>6</v>
      </c>
      <c r="B38" t="s">
        <v>4</v>
      </c>
      <c r="C38" s="2">
        <v>10349240.954250008</v>
      </c>
    </row>
    <row r="39" spans="1:3" x14ac:dyDescent="0.2">
      <c r="A39" t="s">
        <v>6</v>
      </c>
      <c r="B39" t="s">
        <v>4</v>
      </c>
      <c r="C39" s="2">
        <v>20713507.357250005</v>
      </c>
    </row>
    <row r="40" spans="1:3" x14ac:dyDescent="0.2">
      <c r="A40" t="s">
        <v>6</v>
      </c>
      <c r="B40" t="s">
        <v>4</v>
      </c>
      <c r="C40" s="2">
        <v>5774124.1252500042</v>
      </c>
    </row>
    <row r="41" spans="1:3" x14ac:dyDescent="0.2">
      <c r="A41" t="s">
        <v>6</v>
      </c>
      <c r="B41" t="s">
        <v>4</v>
      </c>
      <c r="C41" s="2">
        <v>11667887.574250005</v>
      </c>
    </row>
    <row r="42" spans="1:3" x14ac:dyDescent="0.2">
      <c r="A42" t="s">
        <v>6</v>
      </c>
      <c r="B42" t="s">
        <v>4</v>
      </c>
      <c r="C42" s="2">
        <v>52721452.766250014</v>
      </c>
    </row>
    <row r="43" spans="1:3" x14ac:dyDescent="0.2">
      <c r="A43" t="s">
        <v>6</v>
      </c>
      <c r="B43" t="s">
        <v>4</v>
      </c>
      <c r="C43" s="2">
        <v>46065185.201250002</v>
      </c>
    </row>
    <row r="44" spans="1:3" x14ac:dyDescent="0.2">
      <c r="A44" t="s">
        <v>7</v>
      </c>
      <c r="B44" t="s">
        <v>9</v>
      </c>
      <c r="C44" s="2">
        <v>307998.21899999678</v>
      </c>
    </row>
    <row r="45" spans="1:3" x14ac:dyDescent="0.2">
      <c r="A45" t="s">
        <v>7</v>
      </c>
      <c r="B45" t="s">
        <v>9</v>
      </c>
      <c r="C45" s="2">
        <v>180496.22100000083</v>
      </c>
    </row>
    <row r="46" spans="1:3" x14ac:dyDescent="0.2">
      <c r="A46" t="s">
        <v>7</v>
      </c>
      <c r="B46" t="s">
        <v>9</v>
      </c>
      <c r="C46" s="2">
        <v>78922.495999999344</v>
      </c>
    </row>
    <row r="47" spans="1:3" x14ac:dyDescent="0.2">
      <c r="A47" t="s">
        <v>7</v>
      </c>
      <c r="B47" t="s">
        <v>9</v>
      </c>
      <c r="C47" s="2">
        <v>-9354.4160000011325</v>
      </c>
    </row>
    <row r="48" spans="1:3" x14ac:dyDescent="0.2">
      <c r="A48" t="s">
        <v>7</v>
      </c>
      <c r="B48" t="s">
        <v>9</v>
      </c>
      <c r="C48" s="2">
        <v>-14124.480999998748</v>
      </c>
    </row>
    <row r="49" spans="1:3" x14ac:dyDescent="0.2">
      <c r="A49" t="s">
        <v>7</v>
      </c>
      <c r="B49" t="s">
        <v>9</v>
      </c>
      <c r="C49" s="2">
        <v>-142199.70600000024</v>
      </c>
    </row>
    <row r="50" spans="1:3" x14ac:dyDescent="0.2">
      <c r="A50" t="s">
        <v>7</v>
      </c>
      <c r="B50" t="s">
        <v>9</v>
      </c>
      <c r="C50" s="2">
        <v>-401738.33300000429</v>
      </c>
    </row>
    <row r="51" spans="1:3" x14ac:dyDescent="0.2">
      <c r="A51" t="s">
        <v>7</v>
      </c>
      <c r="B51" t="s">
        <v>1</v>
      </c>
      <c r="C51" s="2">
        <v>5692778.394249998</v>
      </c>
    </row>
    <row r="52" spans="1:3" x14ac:dyDescent="0.2">
      <c r="A52" t="s">
        <v>7</v>
      </c>
      <c r="B52" t="s">
        <v>1</v>
      </c>
      <c r="C52" s="2">
        <v>5611758.9412500039</v>
      </c>
    </row>
    <row r="53" spans="1:3" x14ac:dyDescent="0.2">
      <c r="A53" t="s">
        <v>7</v>
      </c>
      <c r="B53" t="s">
        <v>1</v>
      </c>
      <c r="C53" s="2">
        <v>5494032.5062500015</v>
      </c>
    </row>
    <row r="54" spans="1:3" x14ac:dyDescent="0.2">
      <c r="A54" t="s">
        <v>7</v>
      </c>
      <c r="B54" t="s">
        <v>1</v>
      </c>
      <c r="C54" s="2">
        <v>1459233.0292500034</v>
      </c>
    </row>
    <row r="55" spans="1:3" x14ac:dyDescent="0.2">
      <c r="A55" t="s">
        <v>7</v>
      </c>
      <c r="B55" t="s">
        <v>1</v>
      </c>
      <c r="C55" s="2">
        <v>1242133.6502500027</v>
      </c>
    </row>
    <row r="56" spans="1:3" x14ac:dyDescent="0.2">
      <c r="A56" t="s">
        <v>7</v>
      </c>
      <c r="B56" t="s">
        <v>1</v>
      </c>
      <c r="C56" s="2">
        <v>1102860.0332500041</v>
      </c>
    </row>
    <row r="57" spans="1:3" x14ac:dyDescent="0.2">
      <c r="A57" t="s">
        <v>7</v>
      </c>
      <c r="B57" t="s">
        <v>1</v>
      </c>
      <c r="C57" s="2">
        <v>966892.70525000244</v>
      </c>
    </row>
    <row r="58" spans="1:3" x14ac:dyDescent="0.2">
      <c r="A58" t="s">
        <v>7</v>
      </c>
      <c r="B58" t="s">
        <v>1</v>
      </c>
      <c r="C58" s="2">
        <v>476292.53525000066</v>
      </c>
    </row>
    <row r="59" spans="1:3" x14ac:dyDescent="0.2">
      <c r="A59" t="s">
        <v>7</v>
      </c>
      <c r="B59" t="s">
        <v>2</v>
      </c>
      <c r="C59" s="3">
        <v>27091449.046624996</v>
      </c>
    </row>
    <row r="60" spans="1:3" x14ac:dyDescent="0.2">
      <c r="A60" t="s">
        <v>7</v>
      </c>
      <c r="B60" t="s">
        <v>2</v>
      </c>
      <c r="C60" s="2">
        <v>7539525.4716250002</v>
      </c>
    </row>
    <row r="61" spans="1:3" x14ac:dyDescent="0.2">
      <c r="A61" t="s">
        <v>7</v>
      </c>
      <c r="B61" t="s">
        <v>2</v>
      </c>
      <c r="C61" s="2">
        <v>5314136.5646250024</v>
      </c>
    </row>
    <row r="62" spans="1:3" x14ac:dyDescent="0.2">
      <c r="A62" t="s">
        <v>7</v>
      </c>
      <c r="B62" t="s">
        <v>2</v>
      </c>
      <c r="C62" s="2">
        <v>3089883.8746249974</v>
      </c>
    </row>
    <row r="63" spans="1:3" x14ac:dyDescent="0.2">
      <c r="A63" t="s">
        <v>7</v>
      </c>
      <c r="B63" t="s">
        <v>2</v>
      </c>
      <c r="C63" s="2">
        <v>1846104.7566249967</v>
      </c>
    </row>
    <row r="64" spans="1:3" x14ac:dyDescent="0.2">
      <c r="A64" t="s">
        <v>7</v>
      </c>
      <c r="B64" t="s">
        <v>2</v>
      </c>
      <c r="C64" s="2">
        <v>1664217.8756249994</v>
      </c>
    </row>
    <row r="65" spans="1:3" x14ac:dyDescent="0.2">
      <c r="A65" t="s">
        <v>7</v>
      </c>
      <c r="B65" t="s">
        <v>2</v>
      </c>
      <c r="C65" s="2">
        <v>1386407.6466249973</v>
      </c>
    </row>
    <row r="66" spans="1:3" x14ac:dyDescent="0.2">
      <c r="A66" t="s">
        <v>7</v>
      </c>
      <c r="B66" t="s">
        <v>2</v>
      </c>
      <c r="C66" s="2">
        <v>271123.43662499636</v>
      </c>
    </row>
    <row r="67" spans="1:3" x14ac:dyDescent="0.2">
      <c r="A67" t="s">
        <v>7</v>
      </c>
      <c r="B67" t="s">
        <v>3</v>
      </c>
      <c r="C67" s="2">
        <v>16556948.386375003</v>
      </c>
    </row>
    <row r="68" spans="1:3" x14ac:dyDescent="0.2">
      <c r="A68" t="s">
        <v>7</v>
      </c>
      <c r="B68" t="s">
        <v>3</v>
      </c>
      <c r="C68" s="2">
        <v>10885903.985375002</v>
      </c>
    </row>
    <row r="69" spans="1:3" x14ac:dyDescent="0.2">
      <c r="A69" t="s">
        <v>7</v>
      </c>
      <c r="B69" t="s">
        <v>3</v>
      </c>
      <c r="C69" s="2">
        <v>10848255.274374999</v>
      </c>
    </row>
    <row r="70" spans="1:3" x14ac:dyDescent="0.2">
      <c r="A70" t="s">
        <v>7</v>
      </c>
      <c r="B70" t="s">
        <v>3</v>
      </c>
      <c r="C70" s="2">
        <v>10803615.244375005</v>
      </c>
    </row>
    <row r="71" spans="1:3" x14ac:dyDescent="0.2">
      <c r="A71" t="s">
        <v>7</v>
      </c>
      <c r="B71" t="s">
        <v>3</v>
      </c>
      <c r="C71" s="2">
        <v>10691488.006375</v>
      </c>
    </row>
    <row r="72" spans="1:3" x14ac:dyDescent="0.2">
      <c r="A72" t="s">
        <v>7</v>
      </c>
      <c r="B72" t="s">
        <v>3</v>
      </c>
      <c r="C72" s="2">
        <v>9308189.6023750007</v>
      </c>
    </row>
    <row r="73" spans="1:3" x14ac:dyDescent="0.2">
      <c r="A73" t="s">
        <v>7</v>
      </c>
      <c r="B73" t="s">
        <v>3</v>
      </c>
      <c r="C73" s="2">
        <v>9060678.4993750006</v>
      </c>
    </row>
    <row r="74" spans="1:3" x14ac:dyDescent="0.2">
      <c r="A74" t="s">
        <v>7</v>
      </c>
      <c r="B74" t="s">
        <v>3</v>
      </c>
      <c r="C74" s="2">
        <v>4947152.4763750061</v>
      </c>
    </row>
    <row r="75" spans="1:3" x14ac:dyDescent="0.2">
      <c r="A75" t="s">
        <v>7</v>
      </c>
      <c r="B75" t="s">
        <v>4</v>
      </c>
      <c r="C75" s="2">
        <v>72975255.336666673</v>
      </c>
    </row>
    <row r="76" spans="1:3" x14ac:dyDescent="0.2">
      <c r="A76" t="s">
        <v>7</v>
      </c>
      <c r="B76" t="s">
        <v>4</v>
      </c>
      <c r="C76" s="2">
        <v>69360549.145666674</v>
      </c>
    </row>
    <row r="77" spans="1:3" x14ac:dyDescent="0.2">
      <c r="A77" t="s">
        <v>7</v>
      </c>
      <c r="B77" t="s">
        <v>4</v>
      </c>
      <c r="C77" s="2">
        <v>49493729.62166667</v>
      </c>
    </row>
    <row r="78" spans="1:3" x14ac:dyDescent="0.2">
      <c r="A78" t="s">
        <v>7</v>
      </c>
      <c r="B78" t="s">
        <v>4</v>
      </c>
      <c r="C78" s="2">
        <v>32404387.975666672</v>
      </c>
    </row>
    <row r="79" spans="1:3" x14ac:dyDescent="0.2">
      <c r="A79" t="s">
        <v>7</v>
      </c>
      <c r="B79" t="s">
        <v>4</v>
      </c>
      <c r="C79" s="2">
        <v>11859011.337666668</v>
      </c>
    </row>
    <row r="80" spans="1:3" x14ac:dyDescent="0.2">
      <c r="A80" t="s">
        <v>7</v>
      </c>
      <c r="B80" t="s">
        <v>4</v>
      </c>
      <c r="C80" s="2">
        <v>9862329.650666669</v>
      </c>
    </row>
    <row r="81" spans="1:3" x14ac:dyDescent="0.2">
      <c r="A81" t="s">
        <v>7</v>
      </c>
      <c r="B81" t="s">
        <v>4</v>
      </c>
      <c r="C81" s="2">
        <v>3169355.1036666632</v>
      </c>
    </row>
    <row r="82" spans="1:3" x14ac:dyDescent="0.2">
      <c r="A82" t="s">
        <v>7</v>
      </c>
      <c r="B82" t="s">
        <v>4</v>
      </c>
      <c r="C82" s="3">
        <v>231169888.45266667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935B0-E83E-514A-BAF8-29D0F6EAAD56}">
  <dimension ref="A1:N163"/>
  <sheetViews>
    <sheetView topLeftCell="A61" zoomScale="97" workbookViewId="0">
      <selection activeCell="A67" sqref="A67:D82"/>
    </sheetView>
  </sheetViews>
  <sheetFormatPr baseColWidth="10" defaultRowHeight="16" x14ac:dyDescent="0.2"/>
  <cols>
    <col min="9" max="9" width="16.6640625" customWidth="1"/>
  </cols>
  <sheetData>
    <row r="1" spans="1:12" x14ac:dyDescent="0.2">
      <c r="A1" t="s">
        <v>5</v>
      </c>
      <c r="B1" t="s">
        <v>0</v>
      </c>
      <c r="C1" s="1" t="s">
        <v>8</v>
      </c>
      <c r="D1" s="1"/>
      <c r="I1" t="s">
        <v>134</v>
      </c>
      <c r="J1" t="s">
        <v>127</v>
      </c>
      <c r="K1" t="s">
        <v>128</v>
      </c>
      <c r="L1" t="s">
        <v>129</v>
      </c>
    </row>
    <row r="2" spans="1:12" x14ac:dyDescent="0.2">
      <c r="A2" t="s">
        <v>6</v>
      </c>
      <c r="B2" t="s">
        <v>9</v>
      </c>
      <c r="C2" s="2">
        <v>-106004.71625000238</v>
      </c>
      <c r="D2">
        <f t="shared" ref="D2:D16" si="0">C2/100</f>
        <v>-1060.0471625000239</v>
      </c>
      <c r="F2" s="6"/>
      <c r="I2" t="s">
        <v>117</v>
      </c>
      <c r="J2">
        <v>4.7849999999999998E-5</v>
      </c>
      <c r="K2">
        <f>J2*4</f>
        <v>1.9139999999999999E-4</v>
      </c>
      <c r="L2">
        <f>J2*10</f>
        <v>4.7849999999999998E-4</v>
      </c>
    </row>
    <row r="3" spans="1:12" x14ac:dyDescent="0.2">
      <c r="A3" t="s">
        <v>6</v>
      </c>
      <c r="B3" t="s">
        <v>9</v>
      </c>
      <c r="C3" s="2">
        <v>576073.64674999565</v>
      </c>
      <c r="D3">
        <f t="shared" si="0"/>
        <v>5760.7364674999562</v>
      </c>
      <c r="F3" s="6"/>
      <c r="I3" t="s">
        <v>118</v>
      </c>
      <c r="J3">
        <v>1.0139999999999999E-3</v>
      </c>
      <c r="K3">
        <f>J3*4</f>
        <v>4.0559999999999997E-3</v>
      </c>
      <c r="L3">
        <f>J3*10</f>
        <v>1.014E-2</v>
      </c>
    </row>
    <row r="4" spans="1:12" x14ac:dyDescent="0.2">
      <c r="A4" t="s">
        <v>6</v>
      </c>
      <c r="B4" t="s">
        <v>9</v>
      </c>
      <c r="C4" s="2">
        <v>-417010.91325000674</v>
      </c>
      <c r="D4">
        <f t="shared" si="0"/>
        <v>-4170.1091325000671</v>
      </c>
      <c r="F4" s="6"/>
      <c r="I4" s="7" t="s">
        <v>119</v>
      </c>
      <c r="J4">
        <v>2.5889999999999999E-8</v>
      </c>
      <c r="K4">
        <f>J4*4</f>
        <v>1.0356E-7</v>
      </c>
      <c r="L4">
        <f>J4*10</f>
        <v>2.5889999999999997E-7</v>
      </c>
    </row>
    <row r="5" spans="1:12" x14ac:dyDescent="0.2">
      <c r="A5" t="s">
        <v>6</v>
      </c>
      <c r="B5" t="s">
        <v>9</v>
      </c>
      <c r="C5" s="2">
        <v>-165384.86125000566</v>
      </c>
      <c r="D5">
        <f t="shared" si="0"/>
        <v>-1653.8486125000566</v>
      </c>
      <c r="F5" s="6"/>
      <c r="I5" s="7" t="s">
        <v>120</v>
      </c>
      <c r="J5">
        <v>6.2059999999999997E-3</v>
      </c>
      <c r="K5">
        <f>J5*4</f>
        <v>2.4823999999999999E-2</v>
      </c>
      <c r="L5">
        <f>J5*10</f>
        <v>6.2059999999999997E-2</v>
      </c>
    </row>
    <row r="6" spans="1:12" x14ac:dyDescent="0.2">
      <c r="A6" t="s">
        <v>6</v>
      </c>
      <c r="B6" t="s">
        <v>9</v>
      </c>
      <c r="C6" s="2">
        <v>-209656.38825000077</v>
      </c>
      <c r="D6">
        <f t="shared" si="0"/>
        <v>-2096.5638825000078</v>
      </c>
      <c r="F6" s="6"/>
      <c r="I6" t="s">
        <v>121</v>
      </c>
      <c r="J6">
        <v>5.9240000000000001E-2</v>
      </c>
      <c r="K6">
        <f t="shared" ref="K6:K11" si="1">J6*4</f>
        <v>0.23696</v>
      </c>
      <c r="L6">
        <f t="shared" ref="L6:L11" si="2">J6*10</f>
        <v>0.59240000000000004</v>
      </c>
    </row>
    <row r="7" spans="1:12" x14ac:dyDescent="0.2">
      <c r="A7" t="s">
        <v>6</v>
      </c>
      <c r="B7" t="s">
        <v>9</v>
      </c>
      <c r="C7" s="2">
        <v>318602.72974999994</v>
      </c>
      <c r="D7">
        <f t="shared" si="0"/>
        <v>3186.0272974999993</v>
      </c>
      <c r="F7" s="6"/>
      <c r="I7" t="s">
        <v>122</v>
      </c>
      <c r="J7">
        <v>1.085E-6</v>
      </c>
      <c r="K7">
        <f t="shared" si="1"/>
        <v>4.34E-6</v>
      </c>
      <c r="L7">
        <f t="shared" si="2"/>
        <v>1.0849999999999999E-5</v>
      </c>
    </row>
    <row r="8" spans="1:12" x14ac:dyDescent="0.2">
      <c r="A8" t="s">
        <v>6</v>
      </c>
      <c r="B8" t="s">
        <v>9</v>
      </c>
      <c r="C8" s="2">
        <v>152029.19074999541</v>
      </c>
      <c r="D8">
        <f t="shared" si="0"/>
        <v>1520.291907499954</v>
      </c>
      <c r="F8" s="6"/>
      <c r="I8" t="s">
        <v>123</v>
      </c>
      <c r="J8">
        <v>9.7319999999999993E-3</v>
      </c>
      <c r="K8">
        <f t="shared" si="1"/>
        <v>3.8927999999999997E-2</v>
      </c>
      <c r="L8">
        <f t="shared" si="2"/>
        <v>9.731999999999999E-2</v>
      </c>
    </row>
    <row r="9" spans="1:12" x14ac:dyDescent="0.2">
      <c r="A9" t="s">
        <v>6</v>
      </c>
      <c r="B9" t="s">
        <v>9</v>
      </c>
      <c r="C9" s="2">
        <v>-148648.68825000525</v>
      </c>
      <c r="D9">
        <f t="shared" si="0"/>
        <v>-1486.4868825000524</v>
      </c>
      <c r="I9" t="s">
        <v>124</v>
      </c>
      <c r="J9">
        <v>4.0039999999999999E-2</v>
      </c>
      <c r="K9">
        <f t="shared" si="1"/>
        <v>0.16016</v>
      </c>
      <c r="L9">
        <f t="shared" si="2"/>
        <v>0.40039999999999998</v>
      </c>
    </row>
    <row r="10" spans="1:12" x14ac:dyDescent="0.2">
      <c r="A10" t="s">
        <v>7</v>
      </c>
      <c r="B10" t="s">
        <v>9</v>
      </c>
      <c r="C10" s="2">
        <v>307998.21899999678</v>
      </c>
      <c r="D10">
        <f t="shared" si="0"/>
        <v>3079.9821899999679</v>
      </c>
      <c r="I10" t="s">
        <v>125</v>
      </c>
      <c r="J10">
        <v>1.6240000000000001E-2</v>
      </c>
      <c r="K10">
        <f t="shared" si="1"/>
        <v>6.4960000000000004E-2</v>
      </c>
      <c r="L10">
        <f t="shared" si="2"/>
        <v>0.16240000000000002</v>
      </c>
    </row>
    <row r="11" spans="1:12" x14ac:dyDescent="0.2">
      <c r="A11" t="s">
        <v>7</v>
      </c>
      <c r="B11" t="s">
        <v>9</v>
      </c>
      <c r="C11" s="2">
        <v>180496.22100000083</v>
      </c>
      <c r="D11">
        <f t="shared" si="0"/>
        <v>1804.9622100000083</v>
      </c>
      <c r="I11" t="s">
        <v>126</v>
      </c>
      <c r="J11">
        <v>2.8760000000000001E-2</v>
      </c>
      <c r="K11">
        <f t="shared" si="1"/>
        <v>0.11504</v>
      </c>
      <c r="L11">
        <f t="shared" si="2"/>
        <v>0.28760000000000002</v>
      </c>
    </row>
    <row r="12" spans="1:12" x14ac:dyDescent="0.2">
      <c r="A12" t="s">
        <v>7</v>
      </c>
      <c r="B12" t="s">
        <v>9</v>
      </c>
      <c r="C12" s="2">
        <v>78922.495999999344</v>
      </c>
      <c r="D12">
        <f t="shared" si="0"/>
        <v>789.22495999999342</v>
      </c>
    </row>
    <row r="13" spans="1:12" x14ac:dyDescent="0.2">
      <c r="A13" t="s">
        <v>7</v>
      </c>
      <c r="B13" t="s">
        <v>9</v>
      </c>
      <c r="C13" s="2">
        <v>-9354.4160000011325</v>
      </c>
      <c r="D13">
        <f t="shared" si="0"/>
        <v>-93.544160000011331</v>
      </c>
    </row>
    <row r="14" spans="1:12" x14ac:dyDescent="0.2">
      <c r="A14" t="s">
        <v>7</v>
      </c>
      <c r="B14" t="s">
        <v>9</v>
      </c>
      <c r="C14" s="2">
        <v>-14124.480999998748</v>
      </c>
      <c r="D14">
        <f t="shared" si="0"/>
        <v>-141.2448099999875</v>
      </c>
      <c r="J14" t="s">
        <v>127</v>
      </c>
      <c r="K14" t="s">
        <v>128</v>
      </c>
      <c r="L14" t="s">
        <v>129</v>
      </c>
    </row>
    <row r="15" spans="1:12" x14ac:dyDescent="0.2">
      <c r="A15" t="s">
        <v>7</v>
      </c>
      <c r="B15" t="s">
        <v>9</v>
      </c>
      <c r="C15" s="2">
        <v>-142199.70600000024</v>
      </c>
      <c r="D15">
        <f t="shared" si="0"/>
        <v>-1421.9970600000024</v>
      </c>
      <c r="I15" t="s">
        <v>117</v>
      </c>
      <c r="J15">
        <v>4.7849999999999998E-5</v>
      </c>
      <c r="K15">
        <f>J15*4</f>
        <v>1.9139999999999999E-4</v>
      </c>
      <c r="L15">
        <f>J15*10</f>
        <v>4.7849999999999998E-4</v>
      </c>
    </row>
    <row r="16" spans="1:12" x14ac:dyDescent="0.2">
      <c r="A16" t="s">
        <v>7</v>
      </c>
      <c r="B16" t="s">
        <v>9</v>
      </c>
      <c r="C16" s="2">
        <v>-401738.33300000429</v>
      </c>
      <c r="D16">
        <f t="shared" si="0"/>
        <v>-4017.3833300000429</v>
      </c>
      <c r="I16" t="s">
        <v>118</v>
      </c>
      <c r="J16">
        <v>1.0139999999999999E-3</v>
      </c>
      <c r="K16">
        <f>J16*4</f>
        <v>4.0559999999999997E-3</v>
      </c>
      <c r="L16">
        <f>J16*10</f>
        <v>1.014E-2</v>
      </c>
    </row>
    <row r="17" spans="1:12" x14ac:dyDescent="0.2">
      <c r="A17" t="s">
        <v>6</v>
      </c>
      <c r="B17" t="s">
        <v>1</v>
      </c>
      <c r="C17" s="2">
        <v>6690690.5971250013</v>
      </c>
      <c r="D17">
        <f t="shared" ref="D17:D48" si="3">C17/100</f>
        <v>66906.905971250017</v>
      </c>
      <c r="E17" s="2"/>
      <c r="I17" s="7" t="s">
        <v>119</v>
      </c>
      <c r="J17">
        <v>2.5889999999999999E-8</v>
      </c>
      <c r="K17">
        <f>J17*4</f>
        <v>1.0356E-7</v>
      </c>
      <c r="L17">
        <f>J17*10</f>
        <v>2.5889999999999997E-7</v>
      </c>
    </row>
    <row r="18" spans="1:12" x14ac:dyDescent="0.2">
      <c r="A18" t="s">
        <v>6</v>
      </c>
      <c r="B18" t="s">
        <v>1</v>
      </c>
      <c r="C18" s="2">
        <v>5488593.2491250038</v>
      </c>
      <c r="D18">
        <f t="shared" si="3"/>
        <v>54885.932491250038</v>
      </c>
      <c r="E18" s="2"/>
      <c r="I18" s="7" t="s">
        <v>130</v>
      </c>
      <c r="J18">
        <v>5.2269999999999997E-4</v>
      </c>
      <c r="K18">
        <f>J18*4</f>
        <v>2.0907999999999999E-3</v>
      </c>
      <c r="L18">
        <f>J18*10</f>
        <v>5.2269999999999999E-3</v>
      </c>
    </row>
    <row r="19" spans="1:12" x14ac:dyDescent="0.2">
      <c r="A19" t="s">
        <v>6</v>
      </c>
      <c r="B19" t="s">
        <v>1</v>
      </c>
      <c r="C19" s="2">
        <v>4373667.3061250001</v>
      </c>
      <c r="D19">
        <f t="shared" si="3"/>
        <v>43736.673061250003</v>
      </c>
      <c r="E19" s="2"/>
      <c r="I19" t="s">
        <v>121</v>
      </c>
      <c r="J19">
        <v>5.9240000000000001E-2</v>
      </c>
      <c r="K19">
        <f t="shared" ref="K19:K24" si="4">J19*4</f>
        <v>0.23696</v>
      </c>
      <c r="L19">
        <f t="shared" ref="L19:L24" si="5">J19*10</f>
        <v>0.59240000000000004</v>
      </c>
    </row>
    <row r="20" spans="1:12" x14ac:dyDescent="0.2">
      <c r="A20" t="s">
        <v>6</v>
      </c>
      <c r="B20" t="s">
        <v>1</v>
      </c>
      <c r="C20" s="2">
        <v>3132959.0461250022</v>
      </c>
      <c r="D20">
        <f t="shared" si="3"/>
        <v>31329.590461250024</v>
      </c>
      <c r="E20" s="2"/>
      <c r="I20" t="s">
        <v>122</v>
      </c>
      <c r="J20">
        <v>1.085E-6</v>
      </c>
      <c r="K20">
        <f t="shared" si="4"/>
        <v>4.34E-6</v>
      </c>
      <c r="L20">
        <f t="shared" si="5"/>
        <v>1.0849999999999999E-5</v>
      </c>
    </row>
    <row r="21" spans="1:12" x14ac:dyDescent="0.2">
      <c r="A21" t="s">
        <v>6</v>
      </c>
      <c r="B21" t="s">
        <v>1</v>
      </c>
      <c r="C21" s="2">
        <v>2750842.0291249976</v>
      </c>
      <c r="D21">
        <f t="shared" si="3"/>
        <v>27508.420291249975</v>
      </c>
      <c r="E21" s="2"/>
      <c r="I21" t="s">
        <v>131</v>
      </c>
      <c r="J21">
        <v>1.209E-3</v>
      </c>
      <c r="K21">
        <f t="shared" si="4"/>
        <v>4.836E-3</v>
      </c>
      <c r="L21">
        <f t="shared" si="5"/>
        <v>1.209E-2</v>
      </c>
    </row>
    <row r="22" spans="1:12" x14ac:dyDescent="0.2">
      <c r="A22" t="s">
        <v>6</v>
      </c>
      <c r="B22" t="s">
        <v>1</v>
      </c>
      <c r="C22" s="2">
        <v>1502425.9171250015</v>
      </c>
      <c r="D22">
        <f t="shared" si="3"/>
        <v>15024.259171250016</v>
      </c>
      <c r="E22" s="2"/>
      <c r="I22" t="s">
        <v>124</v>
      </c>
      <c r="J22">
        <v>4.0039999999999999E-2</v>
      </c>
      <c r="K22">
        <f t="shared" si="4"/>
        <v>0.16016</v>
      </c>
      <c r="L22">
        <f t="shared" si="5"/>
        <v>0.40039999999999998</v>
      </c>
    </row>
    <row r="23" spans="1:12" x14ac:dyDescent="0.2">
      <c r="A23" t="s">
        <v>6</v>
      </c>
      <c r="B23" t="s">
        <v>1</v>
      </c>
      <c r="C23" s="2">
        <v>1382160.9061250016</v>
      </c>
      <c r="D23">
        <f t="shared" si="3"/>
        <v>13821.609061250016</v>
      </c>
      <c r="E23" s="2"/>
      <c r="I23" t="s">
        <v>132</v>
      </c>
      <c r="J23">
        <v>3.2810000000000001E-3</v>
      </c>
      <c r="K23">
        <f t="shared" si="4"/>
        <v>1.3124E-2</v>
      </c>
      <c r="L23">
        <f t="shared" si="5"/>
        <v>3.2809999999999999E-2</v>
      </c>
    </row>
    <row r="24" spans="1:12" x14ac:dyDescent="0.2">
      <c r="A24" t="s">
        <v>6</v>
      </c>
      <c r="B24" t="s">
        <v>1</v>
      </c>
      <c r="C24" s="2">
        <v>1263779.3551250026</v>
      </c>
      <c r="D24">
        <f t="shared" si="3"/>
        <v>12637.793551250026</v>
      </c>
      <c r="E24" s="2"/>
      <c r="I24" t="s">
        <v>133</v>
      </c>
      <c r="J24">
        <v>9.9780000000000008E-3</v>
      </c>
      <c r="K24">
        <f t="shared" si="4"/>
        <v>3.9912000000000003E-2</v>
      </c>
      <c r="L24">
        <f t="shared" si="5"/>
        <v>9.9780000000000008E-2</v>
      </c>
    </row>
    <row r="25" spans="1:12" x14ac:dyDescent="0.2">
      <c r="A25" t="s">
        <v>7</v>
      </c>
      <c r="B25" t="s">
        <v>1</v>
      </c>
      <c r="C25" s="2">
        <v>530694.05212499946</v>
      </c>
      <c r="D25">
        <f t="shared" si="3"/>
        <v>5306.9405212499951</v>
      </c>
      <c r="E25" s="2"/>
    </row>
    <row r="26" spans="1:12" x14ac:dyDescent="0.2">
      <c r="A26" t="s">
        <v>7</v>
      </c>
      <c r="B26" t="s">
        <v>1</v>
      </c>
      <c r="C26" s="2">
        <v>5692778.394249998</v>
      </c>
      <c r="D26">
        <f t="shared" si="3"/>
        <v>56927.783942499984</v>
      </c>
      <c r="E26" s="2"/>
    </row>
    <row r="27" spans="1:12" x14ac:dyDescent="0.2">
      <c r="A27" t="s">
        <v>7</v>
      </c>
      <c r="B27" t="s">
        <v>1</v>
      </c>
      <c r="C27" s="2">
        <v>5611758.9412500039</v>
      </c>
      <c r="D27">
        <f t="shared" si="3"/>
        <v>56117.589412500041</v>
      </c>
      <c r="E27" s="2"/>
    </row>
    <row r="28" spans="1:12" x14ac:dyDescent="0.2">
      <c r="A28" t="s">
        <v>7</v>
      </c>
      <c r="B28" t="s">
        <v>1</v>
      </c>
      <c r="C28" s="2">
        <v>5494032.5062500015</v>
      </c>
      <c r="D28">
        <f t="shared" si="3"/>
        <v>54940.325062500015</v>
      </c>
      <c r="E28" s="2"/>
    </row>
    <row r="29" spans="1:12" x14ac:dyDescent="0.2">
      <c r="A29" t="s">
        <v>7</v>
      </c>
      <c r="B29" t="s">
        <v>1</v>
      </c>
      <c r="C29" s="2">
        <v>1459233.0292500034</v>
      </c>
      <c r="D29">
        <f t="shared" si="3"/>
        <v>14592.330292500033</v>
      </c>
      <c r="E29" s="2"/>
    </row>
    <row r="30" spans="1:12" x14ac:dyDescent="0.2">
      <c r="A30" t="s">
        <v>7</v>
      </c>
      <c r="B30" t="s">
        <v>1</v>
      </c>
      <c r="C30" s="2">
        <v>1242133.6502500027</v>
      </c>
      <c r="D30">
        <f t="shared" si="3"/>
        <v>12421.336502500028</v>
      </c>
      <c r="E30" s="2"/>
    </row>
    <row r="31" spans="1:12" x14ac:dyDescent="0.2">
      <c r="A31" t="s">
        <v>7</v>
      </c>
      <c r="B31" t="s">
        <v>1</v>
      </c>
      <c r="C31" s="2">
        <v>1102860.0332500041</v>
      </c>
      <c r="D31">
        <f t="shared" si="3"/>
        <v>11028.60033250004</v>
      </c>
      <c r="E31" s="2"/>
    </row>
    <row r="32" spans="1:12" x14ac:dyDescent="0.2">
      <c r="A32" t="s">
        <v>7</v>
      </c>
      <c r="B32" t="s">
        <v>1</v>
      </c>
      <c r="C32" s="2">
        <v>966892.70525000244</v>
      </c>
      <c r="D32">
        <f t="shared" si="3"/>
        <v>9668.9270525000247</v>
      </c>
      <c r="E32" s="2"/>
    </row>
    <row r="33" spans="1:5" x14ac:dyDescent="0.2">
      <c r="A33" t="s">
        <v>7</v>
      </c>
      <c r="B33" t="s">
        <v>1</v>
      </c>
      <c r="C33" s="2">
        <v>476292.53525000066</v>
      </c>
      <c r="D33">
        <f t="shared" si="3"/>
        <v>4762.9253525000067</v>
      </c>
      <c r="E33" s="2"/>
    </row>
    <row r="34" spans="1:5" x14ac:dyDescent="0.2">
      <c r="A34" t="s">
        <v>6</v>
      </c>
      <c r="B34" t="s">
        <v>2</v>
      </c>
      <c r="C34" s="2">
        <v>10989573.570499994</v>
      </c>
      <c r="D34">
        <f t="shared" si="3"/>
        <v>109895.73570499994</v>
      </c>
      <c r="E34" s="2"/>
    </row>
    <row r="35" spans="1:5" x14ac:dyDescent="0.2">
      <c r="A35" t="s">
        <v>6</v>
      </c>
      <c r="B35" t="s">
        <v>2</v>
      </c>
      <c r="C35" s="2">
        <v>9372797.8824999928</v>
      </c>
      <c r="D35">
        <f t="shared" si="3"/>
        <v>93727.978824999926</v>
      </c>
      <c r="E35" s="2"/>
    </row>
    <row r="36" spans="1:5" x14ac:dyDescent="0.2">
      <c r="A36" t="s">
        <v>6</v>
      </c>
      <c r="B36" t="s">
        <v>2</v>
      </c>
      <c r="C36" s="2">
        <v>8574641.111499995</v>
      </c>
      <c r="D36">
        <f t="shared" si="3"/>
        <v>85746.411114999952</v>
      </c>
      <c r="E36" s="2"/>
    </row>
    <row r="37" spans="1:5" x14ac:dyDescent="0.2">
      <c r="A37" t="s">
        <v>6</v>
      </c>
      <c r="B37" t="s">
        <v>2</v>
      </c>
      <c r="C37" s="2">
        <v>7443685.2924999967</v>
      </c>
      <c r="D37">
        <f t="shared" si="3"/>
        <v>74436.85292499997</v>
      </c>
      <c r="E37" s="2"/>
    </row>
    <row r="38" spans="1:5" x14ac:dyDescent="0.2">
      <c r="A38" t="s">
        <v>6</v>
      </c>
      <c r="B38" t="s">
        <v>2</v>
      </c>
      <c r="C38" s="2">
        <v>6893919.936499998</v>
      </c>
      <c r="D38">
        <f t="shared" si="3"/>
        <v>68939.199364999979</v>
      </c>
      <c r="E38" s="2"/>
    </row>
    <row r="39" spans="1:5" x14ac:dyDescent="0.2">
      <c r="A39" t="s">
        <v>6</v>
      </c>
      <c r="B39" t="s">
        <v>2</v>
      </c>
      <c r="C39" s="2">
        <v>5660182.5224999934</v>
      </c>
      <c r="D39">
        <f t="shared" si="3"/>
        <v>56601.825224999935</v>
      </c>
      <c r="E39" s="2"/>
    </row>
    <row r="40" spans="1:5" x14ac:dyDescent="0.2">
      <c r="A40" t="s">
        <v>6</v>
      </c>
      <c r="B40" t="s">
        <v>2</v>
      </c>
      <c r="C40" s="2">
        <v>3863382.9404999986</v>
      </c>
      <c r="D40">
        <f t="shared" si="3"/>
        <v>38633.829404999989</v>
      </c>
      <c r="E40" s="2"/>
    </row>
    <row r="41" spans="1:5" x14ac:dyDescent="0.2">
      <c r="A41" t="s">
        <v>6</v>
      </c>
      <c r="B41" t="s">
        <v>2</v>
      </c>
      <c r="C41" s="2">
        <v>1777533.7914999947</v>
      </c>
      <c r="D41">
        <f t="shared" si="3"/>
        <v>17775.337914999945</v>
      </c>
      <c r="E41" s="2"/>
    </row>
    <row r="42" spans="1:5" x14ac:dyDescent="0.2">
      <c r="A42" t="s">
        <v>7</v>
      </c>
      <c r="B42" t="s">
        <v>2</v>
      </c>
      <c r="C42" s="2">
        <v>1398508.1044999957</v>
      </c>
      <c r="D42">
        <f t="shared" si="3"/>
        <v>13985.081044999957</v>
      </c>
      <c r="E42" s="2"/>
    </row>
    <row r="43" spans="1:5" x14ac:dyDescent="0.2">
      <c r="A43" t="s">
        <v>7</v>
      </c>
      <c r="B43" t="s">
        <v>2</v>
      </c>
      <c r="C43" s="3">
        <v>27091449.046624996</v>
      </c>
      <c r="D43">
        <f t="shared" si="3"/>
        <v>270914.49046624993</v>
      </c>
      <c r="E43" s="3"/>
    </row>
    <row r="44" spans="1:5" x14ac:dyDescent="0.2">
      <c r="A44" t="s">
        <v>7</v>
      </c>
      <c r="B44" t="s">
        <v>2</v>
      </c>
      <c r="C44" s="2">
        <v>7539525.4716250002</v>
      </c>
      <c r="D44">
        <f t="shared" si="3"/>
        <v>75395.254716249998</v>
      </c>
      <c r="E44" s="2"/>
    </row>
    <row r="45" spans="1:5" x14ac:dyDescent="0.2">
      <c r="A45" t="s">
        <v>7</v>
      </c>
      <c r="B45" t="s">
        <v>2</v>
      </c>
      <c r="C45" s="2">
        <v>5314136.5646250024</v>
      </c>
      <c r="D45">
        <f t="shared" si="3"/>
        <v>53141.365646250022</v>
      </c>
      <c r="E45" s="2"/>
    </row>
    <row r="46" spans="1:5" x14ac:dyDescent="0.2">
      <c r="A46" t="s">
        <v>7</v>
      </c>
      <c r="B46" t="s">
        <v>2</v>
      </c>
      <c r="C46" s="2">
        <v>3089883.8746249974</v>
      </c>
      <c r="D46">
        <f t="shared" si="3"/>
        <v>30898.838746249974</v>
      </c>
      <c r="E46" s="2"/>
    </row>
    <row r="47" spans="1:5" x14ac:dyDescent="0.2">
      <c r="A47" t="s">
        <v>7</v>
      </c>
      <c r="B47" t="s">
        <v>2</v>
      </c>
      <c r="C47" s="2">
        <v>1846104.7566249967</v>
      </c>
      <c r="D47">
        <f t="shared" si="3"/>
        <v>18461.047566249967</v>
      </c>
      <c r="E47" s="2"/>
    </row>
    <row r="48" spans="1:5" x14ac:dyDescent="0.2">
      <c r="A48" t="s">
        <v>7</v>
      </c>
      <c r="B48" t="s">
        <v>2</v>
      </c>
      <c r="C48" s="2">
        <v>1664217.8756249994</v>
      </c>
      <c r="D48">
        <f t="shared" si="3"/>
        <v>16642.178756249996</v>
      </c>
      <c r="E48" s="2"/>
    </row>
    <row r="49" spans="1:5" x14ac:dyDescent="0.2">
      <c r="A49" t="s">
        <v>7</v>
      </c>
      <c r="B49" t="s">
        <v>2</v>
      </c>
      <c r="C49" s="2">
        <v>1386407.6466249973</v>
      </c>
      <c r="D49">
        <f t="shared" ref="D49:D80" si="6">C49/100</f>
        <v>13864.076466249973</v>
      </c>
      <c r="E49" s="2"/>
    </row>
    <row r="50" spans="1:5" x14ac:dyDescent="0.2">
      <c r="A50" t="s">
        <v>7</v>
      </c>
      <c r="B50" t="s">
        <v>2</v>
      </c>
      <c r="C50" s="2">
        <v>271123.43662499636</v>
      </c>
      <c r="D50">
        <f t="shared" si="6"/>
        <v>2711.2343662499638</v>
      </c>
      <c r="E50" s="2"/>
    </row>
    <row r="51" spans="1:5" x14ac:dyDescent="0.2">
      <c r="A51" t="s">
        <v>6</v>
      </c>
      <c r="B51" t="s">
        <v>3</v>
      </c>
      <c r="C51" s="2">
        <v>17681068.988499999</v>
      </c>
      <c r="D51">
        <f t="shared" si="6"/>
        <v>176810.689885</v>
      </c>
      <c r="E51" s="2"/>
    </row>
    <row r="52" spans="1:5" x14ac:dyDescent="0.2">
      <c r="A52" t="s">
        <v>6</v>
      </c>
      <c r="B52" t="s">
        <v>3</v>
      </c>
      <c r="C52" s="2">
        <v>13064802.671500005</v>
      </c>
      <c r="D52">
        <f t="shared" si="6"/>
        <v>130648.02671500004</v>
      </c>
      <c r="E52" s="2"/>
    </row>
    <row r="53" spans="1:5" x14ac:dyDescent="0.2">
      <c r="A53" t="s">
        <v>6</v>
      </c>
      <c r="B53" t="s">
        <v>3</v>
      </c>
      <c r="C53" s="2">
        <v>12319976.456500001</v>
      </c>
      <c r="D53">
        <f t="shared" si="6"/>
        <v>123199.76456500002</v>
      </c>
      <c r="E53" s="2"/>
    </row>
    <row r="54" spans="1:5" x14ac:dyDescent="0.2">
      <c r="A54" t="s">
        <v>6</v>
      </c>
      <c r="B54" t="s">
        <v>3</v>
      </c>
      <c r="C54" s="2">
        <v>8906984.6485000029</v>
      </c>
      <c r="D54">
        <f t="shared" si="6"/>
        <v>89069.846485000031</v>
      </c>
      <c r="E54" s="2"/>
    </row>
    <row r="55" spans="1:5" x14ac:dyDescent="0.2">
      <c r="A55" t="s">
        <v>6</v>
      </c>
      <c r="B55" t="s">
        <v>3</v>
      </c>
      <c r="C55" s="2">
        <v>7852605.7765000015</v>
      </c>
      <c r="D55">
        <f t="shared" si="6"/>
        <v>78526.05776500002</v>
      </c>
      <c r="E55" s="2"/>
    </row>
    <row r="56" spans="1:5" x14ac:dyDescent="0.2">
      <c r="A56" t="s">
        <v>6</v>
      </c>
      <c r="B56" t="s">
        <v>3</v>
      </c>
      <c r="C56" s="2">
        <v>7479936.763500005</v>
      </c>
      <c r="D56">
        <f t="shared" si="6"/>
        <v>74799.367635000046</v>
      </c>
      <c r="E56" s="2"/>
    </row>
    <row r="57" spans="1:5" x14ac:dyDescent="0.2">
      <c r="A57" t="s">
        <v>6</v>
      </c>
      <c r="B57" t="s">
        <v>3</v>
      </c>
      <c r="C57" s="2">
        <v>7402561.3945000023</v>
      </c>
      <c r="D57">
        <f t="shared" si="6"/>
        <v>74025.613945000019</v>
      </c>
      <c r="E57" s="2"/>
    </row>
    <row r="58" spans="1:5" x14ac:dyDescent="0.2">
      <c r="A58" t="s">
        <v>7</v>
      </c>
      <c r="B58" t="s">
        <v>3</v>
      </c>
      <c r="C58" s="2">
        <v>2558232.738499999</v>
      </c>
      <c r="D58">
        <f t="shared" si="6"/>
        <v>25582.32738499999</v>
      </c>
      <c r="E58" s="2"/>
    </row>
    <row r="59" spans="1:5" x14ac:dyDescent="0.2">
      <c r="A59" t="s">
        <v>7</v>
      </c>
      <c r="B59" t="s">
        <v>3</v>
      </c>
      <c r="C59" s="2">
        <v>16556948.386375003</v>
      </c>
      <c r="D59">
        <f t="shared" si="6"/>
        <v>165569.48386375004</v>
      </c>
      <c r="E59" s="2"/>
    </row>
    <row r="60" spans="1:5" x14ac:dyDescent="0.2">
      <c r="A60" t="s">
        <v>7</v>
      </c>
      <c r="B60" t="s">
        <v>3</v>
      </c>
      <c r="C60" s="2">
        <v>10885903.985375002</v>
      </c>
      <c r="D60">
        <f t="shared" si="6"/>
        <v>108859.03985375002</v>
      </c>
      <c r="E60" s="2"/>
    </row>
    <row r="61" spans="1:5" x14ac:dyDescent="0.2">
      <c r="A61" t="s">
        <v>7</v>
      </c>
      <c r="B61" t="s">
        <v>3</v>
      </c>
      <c r="C61" s="2">
        <v>10848255.274374999</v>
      </c>
      <c r="D61">
        <f t="shared" si="6"/>
        <v>108482.55274374998</v>
      </c>
      <c r="E61" s="2"/>
    </row>
    <row r="62" spans="1:5" x14ac:dyDescent="0.2">
      <c r="A62" t="s">
        <v>7</v>
      </c>
      <c r="B62" t="s">
        <v>3</v>
      </c>
      <c r="C62" s="2">
        <v>10803615.244375005</v>
      </c>
      <c r="D62">
        <f t="shared" si="6"/>
        <v>108036.15244375005</v>
      </c>
      <c r="E62" s="2"/>
    </row>
    <row r="63" spans="1:5" x14ac:dyDescent="0.2">
      <c r="A63" t="s">
        <v>7</v>
      </c>
      <c r="B63" t="s">
        <v>3</v>
      </c>
      <c r="C63" s="2">
        <v>10691488.006375</v>
      </c>
      <c r="D63">
        <f t="shared" si="6"/>
        <v>106914.88006375</v>
      </c>
      <c r="E63" s="2"/>
    </row>
    <row r="64" spans="1:5" x14ac:dyDescent="0.2">
      <c r="A64" t="s">
        <v>7</v>
      </c>
      <c r="B64" t="s">
        <v>3</v>
      </c>
      <c r="C64" s="2">
        <v>9308189.6023750007</v>
      </c>
      <c r="D64">
        <f t="shared" si="6"/>
        <v>93081.896023750014</v>
      </c>
      <c r="E64" s="2"/>
    </row>
    <row r="65" spans="1:5" x14ac:dyDescent="0.2">
      <c r="A65" t="s">
        <v>7</v>
      </c>
      <c r="B65" t="s">
        <v>3</v>
      </c>
      <c r="C65" s="2">
        <v>9060678.4993750006</v>
      </c>
      <c r="D65">
        <f t="shared" si="6"/>
        <v>90606.78499375</v>
      </c>
      <c r="E65" s="2"/>
    </row>
    <row r="66" spans="1:5" x14ac:dyDescent="0.2">
      <c r="A66" t="s">
        <v>7</v>
      </c>
      <c r="B66" t="s">
        <v>3</v>
      </c>
      <c r="C66" s="2">
        <v>4947152.4763750061</v>
      </c>
      <c r="D66">
        <f t="shared" si="6"/>
        <v>49471.524763750058</v>
      </c>
      <c r="E66" s="2"/>
    </row>
    <row r="67" spans="1:5" x14ac:dyDescent="0.2">
      <c r="A67" t="s">
        <v>6</v>
      </c>
      <c r="B67" t="s">
        <v>4</v>
      </c>
      <c r="C67" s="2">
        <v>9618806.8242500052</v>
      </c>
      <c r="D67">
        <f t="shared" ref="D67:D81" si="7">C67/100</f>
        <v>96188.068242500056</v>
      </c>
      <c r="E67" s="2"/>
    </row>
    <row r="68" spans="1:5" x14ac:dyDescent="0.2">
      <c r="A68" t="s">
        <v>6</v>
      </c>
      <c r="B68" t="s">
        <v>4</v>
      </c>
      <c r="C68" s="2">
        <v>85003717.863250002</v>
      </c>
      <c r="D68">
        <f t="shared" si="7"/>
        <v>850037.1786325</v>
      </c>
      <c r="E68" s="2"/>
    </row>
    <row r="69" spans="1:5" x14ac:dyDescent="0.2">
      <c r="A69" t="s">
        <v>6</v>
      </c>
      <c r="B69" t="s">
        <v>4</v>
      </c>
      <c r="C69" s="2">
        <v>10349240.954250008</v>
      </c>
      <c r="D69">
        <f t="shared" si="7"/>
        <v>103492.40954250009</v>
      </c>
      <c r="E69" s="2"/>
    </row>
    <row r="70" spans="1:5" x14ac:dyDescent="0.2">
      <c r="A70" t="s">
        <v>6</v>
      </c>
      <c r="B70" t="s">
        <v>4</v>
      </c>
      <c r="C70" s="2">
        <v>20713507.357250005</v>
      </c>
      <c r="D70">
        <f t="shared" si="7"/>
        <v>207135.07357250006</v>
      </c>
      <c r="E70" s="2"/>
    </row>
    <row r="71" spans="1:5" x14ac:dyDescent="0.2">
      <c r="A71" t="s">
        <v>6</v>
      </c>
      <c r="B71" t="s">
        <v>4</v>
      </c>
      <c r="C71" s="2">
        <v>5774124.1252500042</v>
      </c>
      <c r="D71">
        <f t="shared" si="7"/>
        <v>57741.24125250004</v>
      </c>
      <c r="E71" s="2"/>
    </row>
    <row r="72" spans="1:5" x14ac:dyDescent="0.2">
      <c r="A72" t="s">
        <v>6</v>
      </c>
      <c r="B72" t="s">
        <v>4</v>
      </c>
      <c r="C72" s="2">
        <v>11667887.574250005</v>
      </c>
      <c r="D72">
        <f t="shared" si="7"/>
        <v>116678.87574250005</v>
      </c>
      <c r="E72" s="2"/>
    </row>
    <row r="73" spans="1:5" x14ac:dyDescent="0.2">
      <c r="A73" t="s">
        <v>6</v>
      </c>
      <c r="B73" t="s">
        <v>4</v>
      </c>
      <c r="C73" s="2">
        <v>52721452.766250014</v>
      </c>
      <c r="D73">
        <f t="shared" si="7"/>
        <v>527214.52766250016</v>
      </c>
      <c r="E73" s="2"/>
    </row>
    <row r="74" spans="1:5" x14ac:dyDescent="0.2">
      <c r="A74" t="s">
        <v>7</v>
      </c>
      <c r="B74" t="s">
        <v>4</v>
      </c>
      <c r="C74" s="2">
        <v>46065185.201250002</v>
      </c>
      <c r="D74">
        <f t="shared" si="7"/>
        <v>460651.85201249999</v>
      </c>
      <c r="E74" s="2"/>
    </row>
    <row r="75" spans="1:5" x14ac:dyDescent="0.2">
      <c r="A75" t="s">
        <v>7</v>
      </c>
      <c r="B75" t="s">
        <v>4</v>
      </c>
      <c r="C75" s="2">
        <v>72975255.336666673</v>
      </c>
      <c r="D75">
        <f t="shared" si="7"/>
        <v>729752.55336666678</v>
      </c>
      <c r="E75" s="2"/>
    </row>
    <row r="76" spans="1:5" x14ac:dyDescent="0.2">
      <c r="A76" t="s">
        <v>7</v>
      </c>
      <c r="B76" t="s">
        <v>4</v>
      </c>
      <c r="C76" s="2">
        <v>69360549.145666674</v>
      </c>
      <c r="D76">
        <f t="shared" si="7"/>
        <v>693605.49145666673</v>
      </c>
      <c r="E76" s="2"/>
    </row>
    <row r="77" spans="1:5" x14ac:dyDescent="0.2">
      <c r="A77" t="s">
        <v>7</v>
      </c>
      <c r="B77" t="s">
        <v>4</v>
      </c>
      <c r="C77" s="2">
        <v>49493729.62166667</v>
      </c>
      <c r="D77">
        <f t="shared" si="7"/>
        <v>494937.2962166667</v>
      </c>
      <c r="E77" s="2"/>
    </row>
    <row r="78" spans="1:5" x14ac:dyDescent="0.2">
      <c r="A78" t="s">
        <v>7</v>
      </c>
      <c r="B78" t="s">
        <v>4</v>
      </c>
      <c r="C78" s="2">
        <v>32404387.975666672</v>
      </c>
      <c r="D78">
        <f t="shared" si="7"/>
        <v>324043.87975666672</v>
      </c>
      <c r="E78" s="2"/>
    </row>
    <row r="79" spans="1:5" x14ac:dyDescent="0.2">
      <c r="A79" t="s">
        <v>7</v>
      </c>
      <c r="B79" t="s">
        <v>4</v>
      </c>
      <c r="C79" s="2">
        <v>11859011.337666668</v>
      </c>
      <c r="D79">
        <f t="shared" si="7"/>
        <v>118590.11337666668</v>
      </c>
      <c r="E79" s="2"/>
    </row>
    <row r="80" spans="1:5" x14ac:dyDescent="0.2">
      <c r="A80" t="s">
        <v>7</v>
      </c>
      <c r="B80" t="s">
        <v>4</v>
      </c>
      <c r="C80" s="2">
        <v>9862329.650666669</v>
      </c>
      <c r="D80">
        <f t="shared" si="7"/>
        <v>98623.296506666695</v>
      </c>
      <c r="E80" s="2"/>
    </row>
    <row r="81" spans="1:14" x14ac:dyDescent="0.2">
      <c r="A81" t="s">
        <v>7</v>
      </c>
      <c r="B81" t="s">
        <v>4</v>
      </c>
      <c r="C81" s="2">
        <v>3169355.1036666632</v>
      </c>
      <c r="D81">
        <f t="shared" si="7"/>
        <v>31693.551036666631</v>
      </c>
      <c r="E81" s="2"/>
    </row>
    <row r="82" spans="1:14" x14ac:dyDescent="0.2">
      <c r="B82" t="s">
        <v>4</v>
      </c>
      <c r="C82" s="3">
        <v>231169888.45266667</v>
      </c>
      <c r="D82">
        <f>C82/100</f>
        <v>2311698.8845266667</v>
      </c>
      <c r="E82" s="3"/>
    </row>
    <row r="85" spans="1:14" x14ac:dyDescent="0.2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</row>
    <row r="87" spans="1:14" x14ac:dyDescent="0.2">
      <c r="A87" t="s">
        <v>11</v>
      </c>
      <c r="B87" t="s">
        <v>18</v>
      </c>
    </row>
    <row r="88" spans="1:14" x14ac:dyDescent="0.2">
      <c r="B88" t="s">
        <v>19</v>
      </c>
      <c r="C88" t="s">
        <v>20</v>
      </c>
      <c r="D88" t="s">
        <v>21</v>
      </c>
      <c r="E88" t="s">
        <v>22</v>
      </c>
      <c r="F88" t="s">
        <v>21</v>
      </c>
      <c r="G88" t="s">
        <v>23</v>
      </c>
      <c r="H88" t="s">
        <v>24</v>
      </c>
      <c r="I88" t="s">
        <v>25</v>
      </c>
    </row>
    <row r="89" spans="1:14" x14ac:dyDescent="0.2">
      <c r="A89" t="s">
        <v>0</v>
      </c>
      <c r="B89">
        <v>4</v>
      </c>
      <c r="C89" s="4">
        <v>1.985E+16</v>
      </c>
      <c r="D89" s="4">
        <v>4962000000000000</v>
      </c>
      <c r="E89">
        <v>7.4710000000000001</v>
      </c>
      <c r="F89">
        <v>3.9499999999999998E-5</v>
      </c>
      <c r="G89" t="s">
        <v>26</v>
      </c>
    </row>
    <row r="90" spans="1:14" x14ac:dyDescent="0.2">
      <c r="A90" t="s">
        <v>27</v>
      </c>
      <c r="B90">
        <v>76</v>
      </c>
      <c r="C90" s="4">
        <v>5.047E+16</v>
      </c>
      <c r="D90" s="4">
        <v>664100000000000</v>
      </c>
    </row>
    <row r="91" spans="1:14" x14ac:dyDescent="0.2">
      <c r="A91" t="s">
        <v>10</v>
      </c>
    </row>
    <row r="92" spans="1:14" x14ac:dyDescent="0.2">
      <c r="A92" t="s">
        <v>28</v>
      </c>
      <c r="B92" t="s">
        <v>29</v>
      </c>
      <c r="C92">
        <v>0</v>
      </c>
      <c r="D92" t="s">
        <v>30</v>
      </c>
      <c r="E92">
        <v>1E-3</v>
      </c>
      <c r="F92" t="s">
        <v>31</v>
      </c>
      <c r="G92">
        <v>0.01</v>
      </c>
      <c r="H92" t="s">
        <v>32</v>
      </c>
      <c r="I92">
        <v>0.05</v>
      </c>
      <c r="J92" t="s">
        <v>33</v>
      </c>
      <c r="K92">
        <v>0.1</v>
      </c>
      <c r="L92" t="s">
        <v>34</v>
      </c>
      <c r="M92" t="s">
        <v>34</v>
      </c>
      <c r="N92">
        <v>1</v>
      </c>
    </row>
    <row r="94" spans="1:14" x14ac:dyDescent="0.2">
      <c r="A94" t="s">
        <v>11</v>
      </c>
      <c r="B94" t="s">
        <v>35</v>
      </c>
      <c r="C94" t="s">
        <v>36</v>
      </c>
      <c r="D94" t="s">
        <v>37</v>
      </c>
      <c r="E94" t="s">
        <v>38</v>
      </c>
    </row>
    <row r="95" spans="1:14" x14ac:dyDescent="0.2">
      <c r="A95" t="s">
        <v>39</v>
      </c>
      <c r="B95" t="s">
        <v>40</v>
      </c>
    </row>
    <row r="96" spans="1:14" x14ac:dyDescent="0.2">
      <c r="B96" t="s">
        <v>41</v>
      </c>
      <c r="C96" t="s">
        <v>42</v>
      </c>
      <c r="D96" t="s">
        <v>43</v>
      </c>
    </row>
    <row r="97" spans="1:9" x14ac:dyDescent="0.2">
      <c r="A97">
        <v>1</v>
      </c>
      <c r="B97" t="s">
        <v>44</v>
      </c>
      <c r="C97">
        <v>10023025.060000001</v>
      </c>
      <c r="D97">
        <v>3834605.7</v>
      </c>
      <c r="E97">
        <v>16</v>
      </c>
    </row>
    <row r="98" spans="1:9" x14ac:dyDescent="0.2">
      <c r="A98">
        <v>15</v>
      </c>
      <c r="B98" t="s">
        <v>45</v>
      </c>
      <c r="C98">
        <v>2891870.25</v>
      </c>
      <c r="D98">
        <v>2171011.7999999998</v>
      </c>
      <c r="E98">
        <v>17</v>
      </c>
    </row>
    <row r="99" spans="1:9" x14ac:dyDescent="0.2">
      <c r="A99">
        <v>2</v>
      </c>
      <c r="B99" t="s">
        <v>44</v>
      </c>
      <c r="C99">
        <v>42500966.32</v>
      </c>
      <c r="D99">
        <v>55644632.700000003</v>
      </c>
      <c r="E99">
        <v>17</v>
      </c>
    </row>
    <row r="100" spans="1:9" x14ac:dyDescent="0.2">
      <c r="A100">
        <v>30</v>
      </c>
      <c r="B100" t="s">
        <v>45</v>
      </c>
      <c r="C100">
        <v>6128063.1699999999</v>
      </c>
      <c r="D100">
        <v>6302311.7000000002</v>
      </c>
      <c r="E100">
        <v>17</v>
      </c>
    </row>
    <row r="101" spans="1:9" x14ac:dyDescent="0.2">
      <c r="A101" t="s">
        <v>9</v>
      </c>
      <c r="B101">
        <v>-21999.87</v>
      </c>
      <c r="C101">
        <v>270178.59999999998</v>
      </c>
      <c r="D101">
        <v>14</v>
      </c>
    </row>
    <row r="103" spans="1:9" x14ac:dyDescent="0.2">
      <c r="A103" t="s">
        <v>11</v>
      </c>
      <c r="B103" t="s">
        <v>46</v>
      </c>
    </row>
    <row r="104" spans="1:9" x14ac:dyDescent="0.2">
      <c r="A104" t="s">
        <v>39</v>
      </c>
      <c r="B104" t="s">
        <v>47</v>
      </c>
      <c r="C104" t="s">
        <v>13</v>
      </c>
      <c r="D104" t="s">
        <v>48</v>
      </c>
      <c r="E104" t="s">
        <v>49</v>
      </c>
      <c r="F104" t="s">
        <v>50</v>
      </c>
      <c r="G104" t="s">
        <v>51</v>
      </c>
      <c r="H104" t="s">
        <v>50</v>
      </c>
      <c r="I104" t="s">
        <v>52</v>
      </c>
    </row>
    <row r="105" spans="1:9" x14ac:dyDescent="0.2">
      <c r="A105" t="s">
        <v>39</v>
      </c>
      <c r="B105" t="s">
        <v>53</v>
      </c>
      <c r="C105" t="s">
        <v>54</v>
      </c>
      <c r="D105" t="s">
        <v>55</v>
      </c>
      <c r="E105" t="s">
        <v>56</v>
      </c>
    </row>
    <row r="106" spans="1:9" x14ac:dyDescent="0.2">
      <c r="A106" t="s">
        <v>39</v>
      </c>
      <c r="B106" t="s">
        <v>57</v>
      </c>
      <c r="C106" t="s">
        <v>58</v>
      </c>
      <c r="D106" t="s">
        <v>54</v>
      </c>
      <c r="E106" t="s">
        <v>59</v>
      </c>
      <c r="F106" t="s">
        <v>60</v>
      </c>
    </row>
    <row r="107" spans="1:9" x14ac:dyDescent="0.2">
      <c r="A107" t="s">
        <v>39</v>
      </c>
      <c r="B107" t="s">
        <v>61</v>
      </c>
      <c r="C107" t="s">
        <v>62</v>
      </c>
      <c r="D107" t="s">
        <v>54</v>
      </c>
      <c r="E107" t="s">
        <v>63</v>
      </c>
      <c r="F107" t="s">
        <v>64</v>
      </c>
      <c r="G107" t="s">
        <v>65</v>
      </c>
    </row>
    <row r="108" spans="1:9" x14ac:dyDescent="0.2">
      <c r="A108" t="s">
        <v>39</v>
      </c>
      <c r="B108" t="s">
        <v>66</v>
      </c>
      <c r="C108" t="s">
        <v>13</v>
      </c>
      <c r="D108" t="s">
        <v>67</v>
      </c>
      <c r="E108" t="s">
        <v>68</v>
      </c>
      <c r="F108" t="s">
        <v>69</v>
      </c>
      <c r="G108" t="s">
        <v>70</v>
      </c>
    </row>
    <row r="109" spans="1:9" x14ac:dyDescent="0.2">
      <c r="A109" t="s">
        <v>39</v>
      </c>
      <c r="B109" t="s">
        <v>71</v>
      </c>
    </row>
    <row r="110" spans="1:9" x14ac:dyDescent="0.2">
      <c r="A110" t="s">
        <v>39</v>
      </c>
      <c r="B110" t="s">
        <v>72</v>
      </c>
    </row>
    <row r="111" spans="1:9" x14ac:dyDescent="0.2">
      <c r="A111" t="s">
        <v>39</v>
      </c>
      <c r="B111" t="s">
        <v>73</v>
      </c>
    </row>
    <row r="113" spans="1:12" x14ac:dyDescent="0.2">
      <c r="A113" t="s">
        <v>74</v>
      </c>
      <c r="B113" t="s">
        <v>75</v>
      </c>
      <c r="C113" t="s">
        <v>76</v>
      </c>
      <c r="D113" t="s">
        <v>77</v>
      </c>
      <c r="E113" t="s">
        <v>78</v>
      </c>
      <c r="F113" t="s">
        <v>79</v>
      </c>
      <c r="G113" t="s">
        <v>80</v>
      </c>
    </row>
    <row r="115" spans="1:12" x14ac:dyDescent="0.2">
      <c r="A115" t="s">
        <v>81</v>
      </c>
      <c r="B115" t="s">
        <v>82</v>
      </c>
      <c r="C115" t="s">
        <v>83</v>
      </c>
      <c r="D115" t="s">
        <v>84</v>
      </c>
      <c r="E115" t="s">
        <v>85</v>
      </c>
      <c r="F115" t="s">
        <v>86</v>
      </c>
    </row>
    <row r="118" spans="1:12" x14ac:dyDescent="0.2">
      <c r="A118" t="s">
        <v>87</v>
      </c>
      <c r="B118" t="s">
        <v>88</v>
      </c>
      <c r="C118" t="s">
        <v>50</v>
      </c>
      <c r="D118" t="s">
        <v>8</v>
      </c>
      <c r="E118" t="s">
        <v>15</v>
      </c>
      <c r="F118" t="s">
        <v>16</v>
      </c>
      <c r="G118" t="s">
        <v>89</v>
      </c>
      <c r="H118" t="s">
        <v>50</v>
      </c>
      <c r="I118" t="s">
        <v>90</v>
      </c>
    </row>
    <row r="120" spans="1:12" x14ac:dyDescent="0.2">
      <c r="A120" t="s">
        <v>79</v>
      </c>
      <c r="B120" t="s">
        <v>91</v>
      </c>
    </row>
    <row r="121" spans="1:12" x14ac:dyDescent="0.2">
      <c r="B121" t="s">
        <v>92</v>
      </c>
      <c r="C121" t="s">
        <v>93</v>
      </c>
      <c r="D121" t="s">
        <v>94</v>
      </c>
      <c r="E121" t="s">
        <v>95</v>
      </c>
      <c r="F121" t="s">
        <v>24</v>
      </c>
      <c r="G121" t="s">
        <v>96</v>
      </c>
    </row>
    <row r="122" spans="1:12" x14ac:dyDescent="0.2">
      <c r="A122">
        <v>15</v>
      </c>
      <c r="B122" t="s">
        <v>45</v>
      </c>
      <c r="C122" t="s">
        <v>97</v>
      </c>
      <c r="D122">
        <v>1</v>
      </c>
      <c r="E122" t="s">
        <v>44</v>
      </c>
      <c r="F122" t="s">
        <v>98</v>
      </c>
      <c r="G122">
        <v>0</v>
      </c>
      <c r="H122">
        <v>-7131155</v>
      </c>
      <c r="I122">
        <v>8976313</v>
      </c>
      <c r="J122">
        <v>-0.79400000000000004</v>
      </c>
      <c r="K122">
        <v>0.93140800000000001</v>
      </c>
    </row>
    <row r="123" spans="1:12" x14ac:dyDescent="0.2">
      <c r="A123">
        <v>2</v>
      </c>
      <c r="B123" t="s">
        <v>44</v>
      </c>
      <c r="C123" t="s">
        <v>97</v>
      </c>
      <c r="D123">
        <v>1</v>
      </c>
      <c r="E123" t="s">
        <v>44</v>
      </c>
      <c r="F123" t="s">
        <v>98</v>
      </c>
      <c r="G123">
        <v>0</v>
      </c>
      <c r="H123">
        <v>32477941</v>
      </c>
      <c r="I123">
        <v>8976313</v>
      </c>
      <c r="J123">
        <v>3.6179999999999999</v>
      </c>
      <c r="K123">
        <v>4.705E-3</v>
      </c>
      <c r="L123" t="s">
        <v>99</v>
      </c>
    </row>
    <row r="124" spans="1:12" x14ac:dyDescent="0.2">
      <c r="A124">
        <v>30</v>
      </c>
      <c r="B124" t="s">
        <v>45</v>
      </c>
      <c r="C124" t="s">
        <v>97</v>
      </c>
      <c r="D124">
        <v>1</v>
      </c>
      <c r="E124" t="s">
        <v>44</v>
      </c>
      <c r="F124" t="s">
        <v>98</v>
      </c>
      <c r="G124">
        <v>0</v>
      </c>
      <c r="H124">
        <v>-3894962</v>
      </c>
      <c r="I124">
        <v>8976313</v>
      </c>
      <c r="J124">
        <v>-0.434</v>
      </c>
      <c r="K124">
        <v>0.99247200000000002</v>
      </c>
    </row>
    <row r="125" spans="1:12" x14ac:dyDescent="0.2">
      <c r="A125" t="s">
        <v>9</v>
      </c>
      <c r="B125" t="s">
        <v>97</v>
      </c>
      <c r="C125">
        <v>1</v>
      </c>
      <c r="D125" t="s">
        <v>44</v>
      </c>
      <c r="E125" t="s">
        <v>98</v>
      </c>
      <c r="F125">
        <v>0</v>
      </c>
      <c r="G125">
        <v>-10045025</v>
      </c>
      <c r="H125">
        <v>9431095</v>
      </c>
      <c r="I125">
        <v>-1.0649999999999999</v>
      </c>
      <c r="J125">
        <v>0.82356499999999999</v>
      </c>
    </row>
    <row r="126" spans="1:12" x14ac:dyDescent="0.2">
      <c r="A126">
        <v>2</v>
      </c>
      <c r="B126" t="s">
        <v>44</v>
      </c>
      <c r="C126" t="s">
        <v>97</v>
      </c>
      <c r="D126">
        <v>15</v>
      </c>
      <c r="E126" t="s">
        <v>45</v>
      </c>
      <c r="F126" t="s">
        <v>98</v>
      </c>
      <c r="G126">
        <v>0</v>
      </c>
      <c r="H126">
        <v>39609096</v>
      </c>
      <c r="I126">
        <v>8839262</v>
      </c>
      <c r="J126">
        <v>4.4809999999999999</v>
      </c>
      <c r="K126">
        <v>2.3000000000000001E-4</v>
      </c>
      <c r="L126" t="s">
        <v>26</v>
      </c>
    </row>
    <row r="127" spans="1:12" x14ac:dyDescent="0.2">
      <c r="A127">
        <v>30</v>
      </c>
      <c r="B127" t="s">
        <v>45</v>
      </c>
      <c r="C127" t="s">
        <v>97</v>
      </c>
      <c r="D127">
        <v>15</v>
      </c>
      <c r="E127" t="s">
        <v>45</v>
      </c>
      <c r="F127" t="s">
        <v>98</v>
      </c>
      <c r="G127">
        <v>0</v>
      </c>
      <c r="H127">
        <v>3236193</v>
      </c>
      <c r="I127">
        <v>8839262</v>
      </c>
      <c r="J127">
        <v>0.36599999999999999</v>
      </c>
      <c r="K127">
        <v>0.99608300000000005</v>
      </c>
    </row>
    <row r="128" spans="1:12" x14ac:dyDescent="0.2">
      <c r="A128" t="s">
        <v>9</v>
      </c>
      <c r="B128" t="s">
        <v>97</v>
      </c>
      <c r="C128">
        <v>15</v>
      </c>
      <c r="D128" t="s">
        <v>45</v>
      </c>
      <c r="E128" t="s">
        <v>98</v>
      </c>
      <c r="F128">
        <v>0</v>
      </c>
      <c r="G128">
        <v>-2913870</v>
      </c>
      <c r="H128">
        <v>9300748</v>
      </c>
      <c r="I128">
        <v>-0.313</v>
      </c>
      <c r="J128">
        <v>0.99786300000000006</v>
      </c>
    </row>
    <row r="129" spans="1:14" x14ac:dyDescent="0.2">
      <c r="A129">
        <v>30</v>
      </c>
      <c r="B129" t="s">
        <v>45</v>
      </c>
      <c r="C129" t="s">
        <v>97</v>
      </c>
      <c r="D129">
        <v>2</v>
      </c>
      <c r="E129" t="s">
        <v>44</v>
      </c>
      <c r="F129" t="s">
        <v>98</v>
      </c>
      <c r="G129">
        <v>0</v>
      </c>
      <c r="H129">
        <v>-36372903</v>
      </c>
      <c r="I129">
        <v>8839262</v>
      </c>
      <c r="J129">
        <v>-4.1150000000000002</v>
      </c>
      <c r="K129">
        <v>9.2599999999999996E-4</v>
      </c>
      <c r="L129" t="s">
        <v>26</v>
      </c>
    </row>
    <row r="130" spans="1:14" x14ac:dyDescent="0.2">
      <c r="A130" t="s">
        <v>9</v>
      </c>
      <c r="B130" t="s">
        <v>97</v>
      </c>
      <c r="C130">
        <v>2</v>
      </c>
      <c r="D130" t="s">
        <v>44</v>
      </c>
      <c r="E130" t="s">
        <v>98</v>
      </c>
      <c r="F130">
        <v>0</v>
      </c>
      <c r="G130">
        <v>-42522966</v>
      </c>
      <c r="H130">
        <v>9300748</v>
      </c>
      <c r="I130">
        <v>-4.5720000000000001</v>
      </c>
      <c r="J130">
        <v>1.8000000000000001E-4</v>
      </c>
      <c r="K130" t="s">
        <v>26</v>
      </c>
    </row>
    <row r="131" spans="1:14" x14ac:dyDescent="0.2">
      <c r="A131" t="s">
        <v>9</v>
      </c>
      <c r="B131" t="s">
        <v>97</v>
      </c>
      <c r="C131">
        <v>30</v>
      </c>
      <c r="D131" t="s">
        <v>45</v>
      </c>
      <c r="E131" t="s">
        <v>98</v>
      </c>
      <c r="F131">
        <v>0</v>
      </c>
      <c r="G131">
        <v>-6150063</v>
      </c>
      <c r="H131">
        <v>9300748</v>
      </c>
      <c r="I131">
        <v>-0.66100000000000003</v>
      </c>
      <c r="J131">
        <v>0.96395299999999995</v>
      </c>
    </row>
    <row r="132" spans="1:14" x14ac:dyDescent="0.2">
      <c r="A132" t="s">
        <v>10</v>
      </c>
    </row>
    <row r="133" spans="1:14" x14ac:dyDescent="0.2">
      <c r="A133" t="s">
        <v>28</v>
      </c>
      <c r="B133" t="s">
        <v>29</v>
      </c>
      <c r="C133">
        <v>0</v>
      </c>
      <c r="D133" t="s">
        <v>30</v>
      </c>
      <c r="E133">
        <v>1E-3</v>
      </c>
      <c r="F133" t="s">
        <v>31</v>
      </c>
      <c r="G133">
        <v>0.01</v>
      </c>
      <c r="H133" t="s">
        <v>32</v>
      </c>
      <c r="I133">
        <v>0.05</v>
      </c>
      <c r="J133" t="s">
        <v>33</v>
      </c>
      <c r="K133">
        <v>0.1</v>
      </c>
      <c r="L133" t="s">
        <v>34</v>
      </c>
      <c r="M133" t="s">
        <v>34</v>
      </c>
      <c r="N133">
        <v>1</v>
      </c>
    </row>
    <row r="134" spans="1:14" x14ac:dyDescent="0.2">
      <c r="A134" t="s">
        <v>100</v>
      </c>
      <c r="B134" t="s">
        <v>101</v>
      </c>
      <c r="C134" t="s">
        <v>102</v>
      </c>
      <c r="D134" t="s">
        <v>103</v>
      </c>
      <c r="E134" t="s">
        <v>104</v>
      </c>
      <c r="F134" t="s">
        <v>105</v>
      </c>
      <c r="G134" t="s">
        <v>106</v>
      </c>
    </row>
    <row r="137" spans="1:14" x14ac:dyDescent="0.2">
      <c r="A137" t="s">
        <v>74</v>
      </c>
      <c r="B137" t="s">
        <v>75</v>
      </c>
      <c r="C137" t="s">
        <v>107</v>
      </c>
      <c r="D137" t="s">
        <v>108</v>
      </c>
    </row>
    <row r="139" spans="1:14" x14ac:dyDescent="0.2">
      <c r="A139" t="s">
        <v>81</v>
      </c>
      <c r="B139" t="s">
        <v>82</v>
      </c>
      <c r="C139" t="s">
        <v>83</v>
      </c>
      <c r="D139" t="s">
        <v>84</v>
      </c>
      <c r="E139" t="s">
        <v>85</v>
      </c>
      <c r="F139" t="s">
        <v>86</v>
      </c>
    </row>
    <row r="142" spans="1:14" x14ac:dyDescent="0.2">
      <c r="A142" t="s">
        <v>87</v>
      </c>
      <c r="B142" t="s">
        <v>88</v>
      </c>
      <c r="C142" t="s">
        <v>50</v>
      </c>
      <c r="D142" t="s">
        <v>8</v>
      </c>
      <c r="E142" t="s">
        <v>15</v>
      </c>
      <c r="F142" t="s">
        <v>16</v>
      </c>
      <c r="G142" t="s">
        <v>89</v>
      </c>
      <c r="H142" t="s">
        <v>50</v>
      </c>
      <c r="I142" t="s">
        <v>90</v>
      </c>
    </row>
    <row r="144" spans="1:14" x14ac:dyDescent="0.2">
      <c r="A144" t="s">
        <v>109</v>
      </c>
      <c r="B144" t="s">
        <v>50</v>
      </c>
      <c r="C144">
        <v>2.7945000000000002</v>
      </c>
    </row>
    <row r="145" spans="1:10" x14ac:dyDescent="0.2">
      <c r="A145" s="5">
        <v>0.95</v>
      </c>
      <c r="B145" t="s">
        <v>110</v>
      </c>
      <c r="C145" t="s">
        <v>59</v>
      </c>
      <c r="D145" t="s">
        <v>111</v>
      </c>
    </row>
    <row r="148" spans="1:10" x14ac:dyDescent="0.2">
      <c r="A148" t="s">
        <v>79</v>
      </c>
      <c r="B148" t="s">
        <v>91</v>
      </c>
    </row>
    <row r="149" spans="1:10" x14ac:dyDescent="0.2">
      <c r="B149" t="s">
        <v>92</v>
      </c>
      <c r="C149" t="s">
        <v>112</v>
      </c>
      <c r="D149" t="s">
        <v>113</v>
      </c>
    </row>
    <row r="150" spans="1:10" x14ac:dyDescent="0.2">
      <c r="A150">
        <v>15</v>
      </c>
      <c r="B150" t="s">
        <v>45</v>
      </c>
      <c r="C150" t="s">
        <v>97</v>
      </c>
      <c r="D150">
        <v>1</v>
      </c>
      <c r="E150" t="s">
        <v>44</v>
      </c>
      <c r="F150" t="s">
        <v>98</v>
      </c>
      <c r="G150">
        <v>0</v>
      </c>
      <c r="H150">
        <v>-7131154.807</v>
      </c>
      <c r="I150">
        <v>-32215555.362</v>
      </c>
      <c r="J150">
        <v>17953245.748</v>
      </c>
    </row>
    <row r="151" spans="1:10" x14ac:dyDescent="0.2">
      <c r="A151">
        <v>2</v>
      </c>
      <c r="B151" t="s">
        <v>44</v>
      </c>
      <c r="C151" t="s">
        <v>97</v>
      </c>
      <c r="D151">
        <v>1</v>
      </c>
      <c r="E151" t="s">
        <v>44</v>
      </c>
      <c r="F151" t="s">
        <v>98</v>
      </c>
      <c r="G151">
        <v>0</v>
      </c>
      <c r="H151">
        <v>32477941.267099999</v>
      </c>
      <c r="I151">
        <v>7393540.7121000001</v>
      </c>
      <c r="J151">
        <v>57562341.822099999</v>
      </c>
    </row>
    <row r="152" spans="1:10" x14ac:dyDescent="0.2">
      <c r="A152">
        <v>30</v>
      </c>
      <c r="B152" t="s">
        <v>45</v>
      </c>
      <c r="C152" t="s">
        <v>97</v>
      </c>
      <c r="D152">
        <v>1</v>
      </c>
      <c r="E152" t="s">
        <v>44</v>
      </c>
      <c r="F152" t="s">
        <v>98</v>
      </c>
      <c r="G152">
        <v>0</v>
      </c>
      <c r="H152">
        <v>-3894961.8909</v>
      </c>
      <c r="I152">
        <v>-28979362.445900001</v>
      </c>
      <c r="J152">
        <v>21189438.664099999</v>
      </c>
    </row>
    <row r="153" spans="1:10" x14ac:dyDescent="0.2">
      <c r="A153" t="s">
        <v>9</v>
      </c>
      <c r="B153" t="s">
        <v>97</v>
      </c>
      <c r="C153">
        <v>1</v>
      </c>
      <c r="D153" t="s">
        <v>44</v>
      </c>
      <c r="E153" t="s">
        <v>98</v>
      </c>
      <c r="F153">
        <v>0</v>
      </c>
      <c r="G153">
        <v>-10045024.9296</v>
      </c>
      <c r="H153">
        <v>-36400316.631300002</v>
      </c>
      <c r="I153">
        <v>16310266.772</v>
      </c>
    </row>
    <row r="154" spans="1:10" x14ac:dyDescent="0.2">
      <c r="A154">
        <v>2</v>
      </c>
      <c r="B154" t="s">
        <v>44</v>
      </c>
      <c r="C154" t="s">
        <v>97</v>
      </c>
      <c r="D154">
        <v>15</v>
      </c>
      <c r="E154" t="s">
        <v>45</v>
      </c>
      <c r="F154" t="s">
        <v>98</v>
      </c>
      <c r="G154">
        <v>0</v>
      </c>
      <c r="H154">
        <v>39609096.074100003</v>
      </c>
      <c r="I154">
        <v>14907685.957</v>
      </c>
      <c r="J154">
        <v>64310506.191200003</v>
      </c>
    </row>
    <row r="155" spans="1:10" x14ac:dyDescent="0.2">
      <c r="A155">
        <v>30</v>
      </c>
      <c r="B155" t="s">
        <v>45</v>
      </c>
      <c r="C155" t="s">
        <v>97</v>
      </c>
      <c r="D155">
        <v>15</v>
      </c>
      <c r="E155" t="s">
        <v>45</v>
      </c>
      <c r="F155" t="s">
        <v>98</v>
      </c>
      <c r="G155">
        <v>0</v>
      </c>
      <c r="H155">
        <v>3236192.9161</v>
      </c>
      <c r="I155">
        <v>-21465217.201000001</v>
      </c>
      <c r="J155">
        <v>27937603.033199999</v>
      </c>
    </row>
    <row r="156" spans="1:10" x14ac:dyDescent="0.2">
      <c r="A156" t="s">
        <v>9</v>
      </c>
      <c r="B156" t="s">
        <v>97</v>
      </c>
      <c r="C156">
        <v>15</v>
      </c>
      <c r="D156" t="s">
        <v>45</v>
      </c>
      <c r="E156" t="s">
        <v>98</v>
      </c>
      <c r="F156">
        <v>0</v>
      </c>
      <c r="G156">
        <v>-2913870.1225999999</v>
      </c>
      <c r="H156">
        <v>-28904905.331900001</v>
      </c>
      <c r="I156">
        <v>23077165.086599998</v>
      </c>
    </row>
    <row r="157" spans="1:10" x14ac:dyDescent="0.2">
      <c r="A157">
        <v>30</v>
      </c>
      <c r="B157" t="s">
        <v>45</v>
      </c>
      <c r="C157" t="s">
        <v>97</v>
      </c>
      <c r="D157">
        <v>2</v>
      </c>
      <c r="E157" t="s">
        <v>44</v>
      </c>
      <c r="F157" t="s">
        <v>98</v>
      </c>
      <c r="G157">
        <v>0</v>
      </c>
      <c r="H157">
        <v>-36372903.158</v>
      </c>
      <c r="I157">
        <v>-61074313.2751</v>
      </c>
      <c r="J157">
        <v>-11671493.040899999</v>
      </c>
    </row>
    <row r="158" spans="1:10" x14ac:dyDescent="0.2">
      <c r="A158" t="s">
        <v>9</v>
      </c>
      <c r="B158" t="s">
        <v>97</v>
      </c>
      <c r="C158">
        <v>2</v>
      </c>
      <c r="D158" t="s">
        <v>44</v>
      </c>
      <c r="E158" t="s">
        <v>98</v>
      </c>
      <c r="F158">
        <v>0</v>
      </c>
      <c r="G158">
        <v>-42522966.196800001</v>
      </c>
      <c r="H158">
        <v>-68514001.406000003</v>
      </c>
      <c r="I158">
        <v>-16531930.987500001</v>
      </c>
    </row>
    <row r="159" spans="1:10" x14ac:dyDescent="0.2">
      <c r="A159" t="s">
        <v>9</v>
      </c>
      <c r="B159" t="s">
        <v>97</v>
      </c>
      <c r="C159">
        <v>30</v>
      </c>
      <c r="D159" t="s">
        <v>45</v>
      </c>
      <c r="E159" t="s">
        <v>98</v>
      </c>
      <c r="F159">
        <v>0</v>
      </c>
      <c r="G159">
        <v>-6150063.0388000002</v>
      </c>
      <c r="H159">
        <v>-32141098.248</v>
      </c>
      <c r="I159">
        <v>19840972.170499999</v>
      </c>
    </row>
    <row r="161" spans="1:10" x14ac:dyDescent="0.2">
      <c r="B161">
        <v>1</v>
      </c>
      <c r="C161" t="s">
        <v>44</v>
      </c>
      <c r="D161">
        <v>15</v>
      </c>
      <c r="E161" t="s">
        <v>45</v>
      </c>
      <c r="F161">
        <v>2</v>
      </c>
      <c r="G161" t="s">
        <v>44</v>
      </c>
      <c r="H161">
        <v>30</v>
      </c>
      <c r="I161" t="s">
        <v>45</v>
      </c>
      <c r="J161" t="s">
        <v>9</v>
      </c>
    </row>
    <row r="162" spans="1:10" x14ac:dyDescent="0.2">
      <c r="B162" t="s">
        <v>114</v>
      </c>
      <c r="C162" t="s">
        <v>114</v>
      </c>
      <c r="D162" t="s">
        <v>115</v>
      </c>
      <c r="E162" t="s">
        <v>114</v>
      </c>
      <c r="F162" t="s">
        <v>114</v>
      </c>
    </row>
    <row r="163" spans="1:10" x14ac:dyDescent="0.2">
      <c r="A163" t="s">
        <v>116</v>
      </c>
    </row>
  </sheetData>
  <conditionalFormatting sqref="J2:L11">
    <cfRule type="cellIs" dxfId="1" priority="2" operator="greaterThan">
      <formula>0.05</formula>
    </cfRule>
  </conditionalFormatting>
  <conditionalFormatting sqref="J15:L24">
    <cfRule type="cellIs" dxfId="0" priority="1" operator="greaterThan">
      <formula>0.05</formula>
    </cfRule>
  </conditionalFormatting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A8D01A0FF9634DB9EFCC8DB434C250" ma:contentTypeVersion="13" ma:contentTypeDescription="Create a new document." ma:contentTypeScope="" ma:versionID="c80a4892fb4f71f32cde23d159eac728">
  <xsd:schema xmlns:xsd="http://www.w3.org/2001/XMLSchema" xmlns:xs="http://www.w3.org/2001/XMLSchema" xmlns:p="http://schemas.microsoft.com/office/2006/metadata/properties" xmlns:ns2="f6c6ccbd-788d-45f7-ad1a-adfb240cb0a6" xmlns:ns3="4f8930c7-6a4d-4434-ac67-2594913ad2f7" targetNamespace="http://schemas.microsoft.com/office/2006/metadata/properties" ma:root="true" ma:fieldsID="83628a1c4b7e3c348e7a2dad63356239" ns2:_="" ns3:_="">
    <xsd:import namespace="f6c6ccbd-788d-45f7-ad1a-adfb240cb0a6"/>
    <xsd:import namespace="4f8930c7-6a4d-4434-ac67-2594913ad2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c6ccbd-788d-45f7-ad1a-adfb240cb0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f7c956-802a-45ac-b2ba-cc7850678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8930c7-6a4d-4434-ac67-2594913ad2f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e3fec2-a42d-4cba-80a3-efa18cbb0297}" ma:internalName="TaxCatchAll" ma:showField="CatchAllData" ma:web="4f8930c7-6a4d-4434-ac67-2594913ad2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8930c7-6a4d-4434-ac67-2594913ad2f7" xsi:nil="true"/>
    <lcf76f155ced4ddcb4097134ff3c332f xmlns="f6c6ccbd-788d-45f7-ad1a-adfb240cb0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651642-D172-40A2-A899-10B325471B70}"/>
</file>

<file path=customXml/itemProps2.xml><?xml version="1.0" encoding="utf-8"?>
<ds:datastoreItem xmlns:ds="http://schemas.openxmlformats.org/officeDocument/2006/customXml" ds:itemID="{11069621-32C5-4666-9ADD-98AE6F750F9D}"/>
</file>

<file path=customXml/itemProps3.xml><?xml version="1.0" encoding="utf-8"?>
<ds:datastoreItem xmlns:ds="http://schemas.openxmlformats.org/officeDocument/2006/customXml" ds:itemID="{B3F9EDCA-A1BD-4788-8644-1D3052FC22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Michelle Biederman</cp:lastModifiedBy>
  <dcterms:created xsi:type="dcterms:W3CDTF">2020-11-22T18:28:14Z</dcterms:created>
  <dcterms:modified xsi:type="dcterms:W3CDTF">2025-04-25T21:07:56Z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0x010100D1A8D01A0FF9634DB9EFCC8DB434C250</vt:lpwstr>
  </property>
</Properties>
</file>