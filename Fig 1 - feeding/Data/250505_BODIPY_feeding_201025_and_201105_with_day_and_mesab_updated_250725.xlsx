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/Labs/Farber_Lab/Farber_Lab_Public/snRNA-seq/Atlas Paper figures/Figure 1 Fluorescent_feeding/Data for boxplots and stats/"/>
    </mc:Choice>
  </mc:AlternateContent>
  <xr:revisionPtr revIDLastSave="0" documentId="13_ncr:1_{511A1D27-DB7D-F144-B594-2A35116CC63C}" xr6:coauthVersionLast="47" xr6:coauthVersionMax="47" xr10:uidLastSave="{00000000-0000-0000-0000-000000000000}"/>
  <bookViews>
    <workbookView xWindow="10500" yWindow="940" windowWidth="24060" windowHeight="17660" activeTab="1" xr2:uid="{E1FB0061-9B36-F44A-A9C5-FDDD5079AD58}"/>
  </bookViews>
  <sheets>
    <sheet name="data" sheetId="1" r:id="rId1"/>
    <sheet name="stats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H23" i="3"/>
  <c r="H22" i="3"/>
  <c r="H21" i="3"/>
  <c r="H14" i="3" l="1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<sst xmlns="http://schemas.openxmlformats.org/spreadsheetml/2006/main" count="900" uniqueCount="279">
  <si>
    <t>Day</t>
  </si>
  <si>
    <t>Feeding</t>
  </si>
  <si>
    <t>15 min UF</t>
  </si>
  <si>
    <t>15 min EY</t>
  </si>
  <si>
    <t>30 min EY</t>
  </si>
  <si>
    <t>1 Hr EY</t>
  </si>
  <si>
    <t>2 Hr EY</t>
  </si>
  <si>
    <t>15 min EY mesab 3 mM</t>
  </si>
  <si>
    <t>30 min EY mesab 3 mM</t>
  </si>
  <si>
    <t>1 Hr EY mesab 3 mM</t>
  </si>
  <si>
    <t>2 Hr EY mesab 3 mM</t>
  </si>
  <si>
    <t>A</t>
  </si>
  <si>
    <t>B</t>
  </si>
  <si>
    <t>Intensity</t>
  </si>
  <si>
    <t>One-Way Analysis of Variance: Intensity ~ Feeding</t>
  </si>
  <si>
    <t xml:space="preserve">             Df    Sum Sq   Mean Sq F value Pr(&gt;F)    </t>
  </si>
  <si>
    <t>Feeding       8 2.606e+17 3.257e+16   24.27 &lt;2e-16 ***</t>
  </si>
  <si>
    <t xml:space="preserve">Residuals   133 1.785e+17 1.342e+15                   </t>
  </si>
  <si>
    <t>---</t>
  </si>
  <si>
    <t>Signif. codes:  0 '***' 0.001 '**' 0.01 '*' 0.05 '.' 0.1 ' ' 1</t>
  </si>
  <si>
    <r>
      <t>&gt;</t>
    </r>
    <r>
      <rPr>
        <sz val="10.8"/>
        <color rgb="FF000000"/>
        <rFont val="Lucida Console"/>
        <family val="2"/>
      </rPr>
      <t xml:space="preserve"> with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Dataset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numSummary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Intensity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groups</t>
    </r>
    <r>
      <rPr>
        <sz val="10.8"/>
        <color rgb="FF9A6E3A"/>
        <rFont val="Lucida Console"/>
        <family val="2"/>
      </rPr>
      <t>=</t>
    </r>
    <r>
      <rPr>
        <sz val="10.8"/>
        <color rgb="FF000000"/>
        <rFont val="Lucida Console"/>
        <family val="2"/>
      </rPr>
      <t>Feeding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statistics</t>
    </r>
    <r>
      <rPr>
        <sz val="10.8"/>
        <color rgb="FF9A6E3A"/>
        <rFont val="Lucida Console"/>
        <family val="2"/>
      </rPr>
      <t>=</t>
    </r>
    <r>
      <rPr>
        <sz val="10.8"/>
        <color rgb="FF000000"/>
        <rFont val="Lucida Console"/>
        <family val="2"/>
      </rPr>
      <t>c</t>
    </r>
    <r>
      <rPr>
        <sz val="10.8"/>
        <color rgb="FF999999"/>
        <rFont val="Lucida Console"/>
        <family val="2"/>
      </rPr>
      <t>(</t>
    </r>
    <r>
      <rPr>
        <sz val="10.8"/>
        <color rgb="FFC41A16"/>
        <rFont val="Lucida Console"/>
        <family val="2"/>
      </rPr>
      <t>"mean"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</t>
    </r>
  </si>
  <si>
    <r>
      <t>+</t>
    </r>
    <r>
      <rPr>
        <sz val="10.8"/>
        <color rgb="FF000000"/>
        <rFont val="Lucida Console"/>
        <family val="2"/>
      </rPr>
      <t xml:space="preserve">   </t>
    </r>
    <r>
      <rPr>
        <sz val="10.8"/>
        <color rgb="FFC41A16"/>
        <rFont val="Lucida Console"/>
        <family val="2"/>
      </rPr>
      <t>"sd"</t>
    </r>
    <r>
      <rPr>
        <sz val="10.8"/>
        <color rgb="FF999999"/>
        <rFont val="Lucida Console"/>
        <family val="2"/>
      </rPr>
      <t>)))</t>
    </r>
  </si>
  <si>
    <r>
      <t>&gt;</t>
    </r>
    <r>
      <rPr>
        <sz val="10.8"/>
        <color rgb="FF000000"/>
        <rFont val="Lucida Console"/>
        <family val="2"/>
      </rPr>
      <t xml:space="preserve"> local</t>
    </r>
    <r>
      <rPr>
        <sz val="10.8"/>
        <color rgb="FF999999"/>
        <rFont val="Lucida Console"/>
        <family val="2"/>
      </rPr>
      <t>({</t>
    </r>
  </si>
  <si>
    <r>
      <t>+</t>
    </r>
    <r>
      <rPr>
        <sz val="10.8"/>
        <color rgb="FF000000"/>
        <rFont val="Lucida Console"/>
        <family val="2"/>
      </rPr>
      <t xml:space="preserve">   print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summary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.Pairs</t>
    </r>
    <r>
      <rPr>
        <sz val="10.8"/>
        <color rgb="FF999999"/>
        <rFont val="Lucida Console"/>
        <family val="2"/>
      </rPr>
      <t>))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007400"/>
        <rFont val="Lucida Console"/>
        <family val="2"/>
      </rPr>
      <t># pairwise tests</t>
    </r>
  </si>
  <si>
    <r>
      <t>+</t>
    </r>
    <r>
      <rPr>
        <sz val="10.8"/>
        <color rgb="FF000000"/>
        <rFont val="Lucida Console"/>
        <family val="2"/>
      </rPr>
      <t xml:space="preserve">   print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confint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.Pairs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level</t>
    </r>
    <r>
      <rPr>
        <sz val="10.8"/>
        <color rgb="FF9A6E3A"/>
        <rFont val="Lucida Console"/>
        <family val="2"/>
      </rPr>
      <t>=</t>
    </r>
    <r>
      <rPr>
        <sz val="10.8"/>
        <color rgb="FF1C00CF"/>
        <rFont val="Lucida Console"/>
        <family val="2"/>
      </rPr>
      <t>0.95</t>
    </r>
    <r>
      <rPr>
        <sz val="10.8"/>
        <color rgb="FF999999"/>
        <rFont val="Lucida Console"/>
        <family val="2"/>
      </rPr>
      <t>))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007400"/>
        <rFont val="Lucida Console"/>
        <family val="2"/>
      </rPr>
      <t># confidence intervals</t>
    </r>
  </si>
  <si>
    <r>
      <t>+</t>
    </r>
    <r>
      <rPr>
        <sz val="10.8"/>
        <color rgb="FF000000"/>
        <rFont val="Lucida Console"/>
        <family val="2"/>
      </rPr>
      <t xml:space="preserve">   print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cld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.Pairs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level</t>
    </r>
    <r>
      <rPr>
        <sz val="10.8"/>
        <color rgb="FF9A6E3A"/>
        <rFont val="Lucida Console"/>
        <family val="2"/>
      </rPr>
      <t>=</t>
    </r>
    <r>
      <rPr>
        <sz val="10.8"/>
        <color rgb="FF1C00CF"/>
        <rFont val="Lucida Console"/>
        <family val="2"/>
      </rPr>
      <t>0.05</t>
    </r>
    <r>
      <rPr>
        <sz val="10.8"/>
        <color rgb="FF999999"/>
        <rFont val="Lucida Console"/>
        <family val="2"/>
      </rPr>
      <t>))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007400"/>
        <rFont val="Lucida Console"/>
        <family val="2"/>
      </rPr>
      <t># compact letter display</t>
    </r>
  </si>
  <si>
    <r>
      <t>+</t>
    </r>
    <r>
      <rPr>
        <sz val="10.8"/>
        <color rgb="FF000000"/>
        <rFont val="Lucida Console"/>
        <family val="2"/>
      </rPr>
      <t xml:space="preserve">   old.oma </t>
    </r>
    <r>
      <rPr>
        <sz val="10.8"/>
        <color rgb="FF9A6E3A"/>
        <rFont val="Lucida Console"/>
        <family val="2"/>
      </rPr>
      <t>&lt;-</t>
    </r>
    <r>
      <rPr>
        <sz val="10.8"/>
        <color rgb="FF000000"/>
        <rFont val="Lucida Console"/>
        <family val="2"/>
      </rPr>
      <t xml:space="preserve"> par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oma</t>
    </r>
    <r>
      <rPr>
        <sz val="10.8"/>
        <color rgb="FF9A6E3A"/>
        <rFont val="Lucida Console"/>
        <family val="2"/>
      </rPr>
      <t>=</t>
    </r>
    <r>
      <rPr>
        <sz val="10.8"/>
        <color rgb="FF000000"/>
        <rFont val="Lucida Console"/>
        <family val="2"/>
      </rPr>
      <t>c</t>
    </r>
    <r>
      <rPr>
        <sz val="10.8"/>
        <color rgb="FF999999"/>
        <rFont val="Lucida Console"/>
        <family val="2"/>
      </rPr>
      <t>(</t>
    </r>
    <r>
      <rPr>
        <sz val="10.8"/>
        <color rgb="FF1C00CF"/>
        <rFont val="Lucida Console"/>
        <family val="2"/>
      </rPr>
      <t>0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1C00CF"/>
        <rFont val="Lucida Console"/>
        <family val="2"/>
      </rPr>
      <t>5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1C00CF"/>
        <rFont val="Lucida Console"/>
        <family val="2"/>
      </rPr>
      <t>0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1C00CF"/>
        <rFont val="Lucida Console"/>
        <family val="2"/>
      </rPr>
      <t>0</t>
    </r>
    <r>
      <rPr>
        <sz val="10.8"/>
        <color rgb="FF999999"/>
        <rFont val="Lucida Console"/>
        <family val="2"/>
      </rPr>
      <t>))</t>
    </r>
  </si>
  <si>
    <r>
      <t>+</t>
    </r>
    <r>
      <rPr>
        <sz val="10.8"/>
        <color rgb="FF000000"/>
        <rFont val="Lucida Console"/>
        <family val="2"/>
      </rPr>
      <t xml:space="preserve">   plot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confint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.Pairs</t>
    </r>
    <r>
      <rPr>
        <sz val="10.8"/>
        <color rgb="FF999999"/>
        <rFont val="Lucida Console"/>
        <family val="2"/>
      </rPr>
      <t>))</t>
    </r>
  </si>
  <si>
    <r>
      <t>+</t>
    </r>
    <r>
      <rPr>
        <sz val="10.8"/>
        <color rgb="FF000000"/>
        <rFont val="Lucida Console"/>
        <family val="2"/>
      </rPr>
      <t xml:space="preserve">   par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old.oma</t>
    </r>
    <r>
      <rPr>
        <sz val="10.8"/>
        <color rgb="FF999999"/>
        <rFont val="Lucida Console"/>
        <family val="2"/>
      </rPr>
      <t>)</t>
    </r>
  </si>
  <si>
    <r>
      <t>+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999999"/>
        <rFont val="Lucida Console"/>
        <family val="2"/>
      </rPr>
      <t>})</t>
    </r>
  </si>
  <si>
    <r>
      <t>&gt;</t>
    </r>
    <r>
      <rPr>
        <sz val="10.8"/>
        <color rgb="FF000000"/>
        <rFont val="Lucida Console"/>
        <family val="2"/>
      </rPr>
      <t xml:space="preserve"> AnovaModel.</t>
    </r>
    <r>
      <rPr>
        <sz val="10.8"/>
        <color rgb="FF1C00CF"/>
        <rFont val="Lucida Console"/>
        <family val="2"/>
      </rPr>
      <t>1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9A6E3A"/>
        <rFont val="Lucida Console"/>
        <family val="2"/>
      </rPr>
      <t>&lt;-</t>
    </r>
    <r>
      <rPr>
        <sz val="10.8"/>
        <color rgb="FF000000"/>
        <rFont val="Lucida Console"/>
        <family val="2"/>
      </rPr>
      <t xml:space="preserve"> aov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 xml:space="preserve">Intensity </t>
    </r>
    <r>
      <rPr>
        <sz val="10.8"/>
        <color rgb="FF9A6E3A"/>
        <rFont val="Lucida Console"/>
        <family val="2"/>
      </rPr>
      <t>~</t>
    </r>
    <r>
      <rPr>
        <sz val="10.8"/>
        <color rgb="FF000000"/>
        <rFont val="Lucida Console"/>
        <family val="2"/>
      </rPr>
      <t xml:space="preserve"> Feeding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data</t>
    </r>
    <r>
      <rPr>
        <sz val="10.8"/>
        <color rgb="FF9A6E3A"/>
        <rFont val="Lucida Console"/>
        <family val="2"/>
      </rPr>
      <t>=</t>
    </r>
    <r>
      <rPr>
        <sz val="10.8"/>
        <color rgb="FF000000"/>
        <rFont val="Lucida Console"/>
        <family val="2"/>
      </rPr>
      <t>Dataset</t>
    </r>
    <r>
      <rPr>
        <sz val="10.8"/>
        <color rgb="FF999999"/>
        <rFont val="Lucida Console"/>
        <family val="2"/>
      </rPr>
      <t>)</t>
    </r>
  </si>
  <si>
    <r>
      <t>&gt;</t>
    </r>
    <r>
      <rPr>
        <sz val="10.8"/>
        <color rgb="FF000000"/>
        <rFont val="Lucida Console"/>
        <family val="2"/>
      </rPr>
      <t xml:space="preserve"> summary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AnovaModel.</t>
    </r>
    <r>
      <rPr>
        <sz val="10.8"/>
        <color rgb="FF1C00CF"/>
        <rFont val="Lucida Console"/>
        <family val="2"/>
      </rPr>
      <t>1</t>
    </r>
    <r>
      <rPr>
        <sz val="10.8"/>
        <color rgb="FF999999"/>
        <rFont val="Lucida Console"/>
        <family val="2"/>
      </rPr>
      <t>)</t>
    </r>
  </si>
  <si>
    <r>
      <t>+</t>
    </r>
    <r>
      <rPr>
        <sz val="10.8"/>
        <color rgb="FF000000"/>
        <rFont val="Lucida Console"/>
        <family val="2"/>
      </rPr>
      <t xml:space="preserve">   .Pairs </t>
    </r>
    <r>
      <rPr>
        <sz val="10.8"/>
        <color rgb="FF9A6E3A"/>
        <rFont val="Lucida Console"/>
        <family val="2"/>
      </rPr>
      <t>&lt;-</t>
    </r>
    <r>
      <rPr>
        <sz val="10.8"/>
        <color rgb="FF000000"/>
        <rFont val="Lucida Console"/>
        <family val="2"/>
      </rPr>
      <t xml:space="preserve"> glht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>AnovaModel.</t>
    </r>
    <r>
      <rPr>
        <sz val="10.8"/>
        <color rgb="FF1C00CF"/>
        <rFont val="Lucida Console"/>
        <family val="2"/>
      </rPr>
      <t>1</t>
    </r>
    <r>
      <rPr>
        <sz val="10.8"/>
        <color rgb="FF999999"/>
        <rFont val="Lucida Console"/>
        <family val="2"/>
      </rPr>
      <t>,</t>
    </r>
    <r>
      <rPr>
        <sz val="10.8"/>
        <color rgb="FF000000"/>
        <rFont val="Lucida Console"/>
        <family val="2"/>
      </rPr>
      <t xml:space="preserve"> linfct </t>
    </r>
    <r>
      <rPr>
        <sz val="10.8"/>
        <color rgb="FF9A6E3A"/>
        <rFont val="Lucida Console"/>
        <family val="2"/>
      </rPr>
      <t>=</t>
    </r>
    <r>
      <rPr>
        <sz val="10.8"/>
        <color rgb="FF000000"/>
        <rFont val="Lucida Console"/>
        <family val="2"/>
      </rPr>
      <t xml:space="preserve"> mcp</t>
    </r>
    <r>
      <rPr>
        <sz val="10.8"/>
        <color rgb="FF999999"/>
        <rFont val="Lucida Console"/>
        <family val="2"/>
      </rPr>
      <t>(</t>
    </r>
    <r>
      <rPr>
        <sz val="10.8"/>
        <color rgb="FF000000"/>
        <rFont val="Lucida Console"/>
        <family val="2"/>
      </rPr>
      <t xml:space="preserve">Feeding </t>
    </r>
    <r>
      <rPr>
        <sz val="10.8"/>
        <color rgb="FF9A6E3A"/>
        <rFont val="Lucida Console"/>
        <family val="2"/>
      </rPr>
      <t>=</t>
    </r>
    <r>
      <rPr>
        <sz val="10.8"/>
        <color rgb="FF000000"/>
        <rFont val="Lucida Console"/>
        <family val="2"/>
      </rPr>
      <t xml:space="preserve"> </t>
    </r>
    <r>
      <rPr>
        <sz val="10.8"/>
        <color rgb="FFC41A16"/>
        <rFont val="Lucida Console"/>
        <family val="2"/>
      </rPr>
      <t>"Tukey"</t>
    </r>
    <r>
      <rPr>
        <sz val="10.8"/>
        <color rgb="FF999999"/>
        <rFont val="Lucida Console"/>
        <family val="2"/>
      </rPr>
      <t>))</t>
    </r>
  </si>
  <si>
    <t>Warning in RET$pfunction("adjusted", ...): Completion with error &gt; abseps</t>
  </si>
  <si>
    <t xml:space="preserve">         Simultaneous Tests for General Linear Hypotheses</t>
  </si>
  <si>
    <t>Multiple Comparisons of Means: Tukey Contrasts</t>
  </si>
  <si>
    <t>Fit: aov(formula = Intensity ~ Feeding, data = Dataset)</t>
  </si>
  <si>
    <t>Linear Hypotheses:</t>
  </si>
  <si>
    <t xml:space="preserve">                                                   Estimate Std. Error t value</t>
  </si>
  <si>
    <t>1 Hr EY mesab 3 mM - 1 Hr EY == 0                 -40483181   13166740  -3.075</t>
  </si>
  <si>
    <t>15 min EY - 1 Hr EY == 0                          -39655407   12760731  -3.108</t>
  </si>
  <si>
    <t>15 min EY mesab 3 mM - 1 Hr EY == 0               -51481638   12952633  -3.975</t>
  </si>
  <si>
    <t>15 min UF - 1 Hr EY == 0                          -57773597   13166740  -4.388</t>
  </si>
  <si>
    <t>2 Hr EY - 1 Hr EY == 0                             89277924   12952633   6.893</t>
  </si>
  <si>
    <t>2 Hr EY mesab 3 mM - 1 Hr EY == 0                 -30982014   13407249  -2.311</t>
  </si>
  <si>
    <t>30 min EY - 1 Hr EY == 0                          -22245073   12760731  -1.743</t>
  </si>
  <si>
    <t>30 min EY mesab 3 mM - 1 Hr EY == 0               -47036065   12952633  -3.631</t>
  </si>
  <si>
    <t>15 min EY - 1 Hr EY mesab 3 mM == 0                  827774   12978005   0.064</t>
  </si>
  <si>
    <t>15 min EY mesab 3 mM - 1 Hr EY mesab 3 mM == 0    -10998457   13166740  -0.835</t>
  </si>
  <si>
    <t>15 min UF - 1 Hr EY mesab 3 mM == 0               -17290416   13377422  -1.293</t>
  </si>
  <si>
    <t>2 Hr EY - 1 Hr EY mesab 3 mM == 0                 129761105   13166740   9.855</t>
  </si>
  <si>
    <t>2 Hr EY mesab 3 mM - 1 Hr EY mesab 3 mM == 0        9501166   13614209   0.698</t>
  </si>
  <si>
    <t>30 min EY - 1 Hr EY mesab 3 mM == 0                18238107   12978005   1.405</t>
  </si>
  <si>
    <t>30 min EY mesab 3 mM - 1 Hr EY mesab 3 mM == 0     -6552884   13166740  -0.498</t>
  </si>
  <si>
    <t>15 min EY mesab 3 mM - 15 min EY == 0             -11826231   12760731  -0.927</t>
  </si>
  <si>
    <t>15 min UF - 15 min EY == 0                        -18118190   12978005  -1.396</t>
  </si>
  <si>
    <t>2 Hr EY - 15 min EY == 0                          128933331   12760731  10.104</t>
  </si>
  <si>
    <t>2 Hr EY mesab 3 mM - 15 min EY == 0                 8673393   13221947   0.656</t>
  </si>
  <si>
    <t>30 min EY - 15 min EY == 0                         17410334   12565900   1.386</t>
  </si>
  <si>
    <t>30 min EY mesab 3 mM - 15 min EY == 0              -7380658   12760731  -0.578</t>
  </si>
  <si>
    <t>15 min UF - 15 min EY mesab 3 mM == 0              -6291959   13166740  -0.478</t>
  </si>
  <si>
    <t>2 Hr EY - 15 min EY mesab 3 mM == 0               140759562   12952633  10.867</t>
  </si>
  <si>
    <t>2 Hr EY mesab 3 mM - 15 min EY mesab 3 mM == 0     20499623   13407249   1.529</t>
  </si>
  <si>
    <t>30 min EY - 15 min EY mesab 3 mM == 0              29236564   12760731   2.291</t>
  </si>
  <si>
    <t>30 min EY mesab 3 mM - 15 min EY mesab 3 mM == 0    4445573   12952633   0.343</t>
  </si>
  <si>
    <t>2 Hr EY - 15 min UF == 0                          147051521   13166740  11.168</t>
  </si>
  <si>
    <t>2 Hr EY mesab 3 mM - 15 min UF == 0                26791582   13614209   1.968</t>
  </si>
  <si>
    <t>30 min EY - 15 min UF == 0                         35528523   12978005   2.738</t>
  </si>
  <si>
    <t>30 min EY mesab 3 mM - 15 min UF == 0              10737532   13166740   0.816</t>
  </si>
  <si>
    <t>2 Hr EY mesab 3 mM - 2 Hr EY == 0                -120259938   13407249  -8.970</t>
  </si>
  <si>
    <t>30 min EY - 2 Hr EY == 0                         -111522997   12760731  -8.740</t>
  </si>
  <si>
    <t>30 min EY mesab 3 mM - 2 Hr EY == 0              -136313989   12952633 -10.524</t>
  </si>
  <si>
    <t>30 min EY - 2 Hr EY mesab 3 mM == 0                 8736941   13221947   0.661</t>
  </si>
  <si>
    <t>30 min EY mesab 3 mM - 2 Hr EY mesab 3 mM == 0    -16054051   13407249  -1.197</t>
  </si>
  <si>
    <t>30 min EY mesab 3 mM - 30 min EY == 0             -24790992   12760731  -1.943</t>
  </si>
  <si>
    <t xml:space="preserve">                                                 Pr(&gt;|t|)    </t>
  </si>
  <si>
    <t xml:space="preserve">1 Hr EY mesab 3 mM - 1 Hr EY == 0                  0.0617 .  </t>
  </si>
  <si>
    <t xml:space="preserve">15 min EY - 1 Hr EY == 0                           0.0565 .  </t>
  </si>
  <si>
    <t xml:space="preserve">15 min EY mesab 3 mM - 1 Hr EY == 0                 &lt;0.01 ** </t>
  </si>
  <si>
    <t>15 min UF - 1 Hr EY == 0                            &lt;0.01 ***</t>
  </si>
  <si>
    <t>2 Hr EY - 1 Hr EY == 0                              &lt;0.01 ***</t>
  </si>
  <si>
    <t xml:space="preserve">2 Hr EY mesab 3 mM - 1 Hr EY == 0                  0.3433    </t>
  </si>
  <si>
    <t xml:space="preserve">30 min EY - 1 Hr EY == 0                           0.7186    </t>
  </si>
  <si>
    <t xml:space="preserve">30 min EY mesab 3 mM - 1 Hr EY == 0                0.0117 *  </t>
  </si>
  <si>
    <t xml:space="preserve">15 min EY - 1 Hr EY mesab 3 mM == 0                1.0000    </t>
  </si>
  <si>
    <t xml:space="preserve">15 min EY mesab 3 mM - 1 Hr EY mesab 3 mM == 0     0.9956    </t>
  </si>
  <si>
    <t xml:space="preserve">15 min UF - 1 Hr EY mesab 3 mM == 0                0.9319    </t>
  </si>
  <si>
    <t>2 Hr EY - 1 Hr EY mesab 3 mM == 0                   &lt;0.01 ***</t>
  </si>
  <si>
    <t xml:space="preserve">2 Hr EY mesab 3 mM - 1 Hr EY mesab 3 mM == 0       0.9987    </t>
  </si>
  <si>
    <t xml:space="preserve">30 min EY - 1 Hr EY mesab 3 mM == 0                0.8939    </t>
  </si>
  <si>
    <t xml:space="preserve">30 min EY mesab 3 mM - 1 Hr EY mesab 3 mM == 0     0.9999    </t>
  </si>
  <si>
    <t xml:space="preserve">15 min EY mesab 3 mM - 15 min EY == 0              0.9910    </t>
  </si>
  <si>
    <t xml:space="preserve">15 min UF - 15 min EY == 0                         0.8974    </t>
  </si>
  <si>
    <t>2 Hr EY - 15 min EY == 0                            &lt;0.01 ***</t>
  </si>
  <si>
    <t xml:space="preserve">2 Hr EY mesab 3 mM - 15 min EY == 0                0.9992    </t>
  </si>
  <si>
    <t xml:space="preserve">30 min EY - 15 min EY == 0                         0.9013    </t>
  </si>
  <si>
    <t xml:space="preserve">30 min EY mesab 3 mM - 15 min EY == 0              0.9997    </t>
  </si>
  <si>
    <t xml:space="preserve">15 min UF - 15 min EY mesab 3 mM == 0              0.9999    </t>
  </si>
  <si>
    <t>2 Hr EY - 15 min EY mesab 3 mM == 0                 &lt;0.01 ***</t>
  </si>
  <si>
    <t xml:space="preserve">2 Hr EY mesab 3 mM - 15 min EY mesab 3 mM == 0     0.8398    </t>
  </si>
  <si>
    <t xml:space="preserve">30 min EY - 15 min EY mesab 3 mM == 0              0.3547    </t>
  </si>
  <si>
    <t xml:space="preserve">30 min EY mesab 3 mM - 15 min EY mesab 3 mM == 0   1.0000    </t>
  </si>
  <si>
    <t>2 Hr EY - 15 min UF == 0                            &lt;0.01 ***</t>
  </si>
  <si>
    <t xml:space="preserve">2 Hr EY mesab 3 mM - 15 min UF == 0                0.5679    </t>
  </si>
  <si>
    <t xml:space="preserve">30 min EY - 15 min UF == 0                         0.1452    </t>
  </si>
  <si>
    <t xml:space="preserve">30 min EY mesab 3 mM - 15 min UF == 0              0.9962    </t>
  </si>
  <si>
    <t>2 Hr EY mesab 3 mM - 2 Hr EY == 0                   &lt;0.01 ***</t>
  </si>
  <si>
    <t>30 min EY - 2 Hr EY == 0                            &lt;0.01 ***</t>
  </si>
  <si>
    <t>30 min EY mesab 3 mM - 2 Hr EY == 0                 &lt;0.01 ***</t>
  </si>
  <si>
    <t xml:space="preserve">30 min EY - 2 Hr EY mesab 3 mM == 0                0.9992    </t>
  </si>
  <si>
    <t xml:space="preserve">30 min EY mesab 3 mM - 2 Hr EY mesab 3 mM == 0     0.9557    </t>
  </si>
  <si>
    <t xml:space="preserve">30 min EY mesab 3 mM - 30 min EY == 0              0.5854    </t>
  </si>
  <si>
    <t>(Adjusted p values reported -- single-step method)</t>
  </si>
  <si>
    <t xml:space="preserve">         Simultaneous Confidence Intervals</t>
  </si>
  <si>
    <t>Quantile = 3.1537</t>
  </si>
  <si>
    <t>95% family-wise confidence level</t>
  </si>
  <si>
    <t xml:space="preserve"> </t>
  </si>
  <si>
    <t xml:space="preserve">                                                 Estimate       </t>
  </si>
  <si>
    <t>1 Hr EY mesab 3 mM - 1 Hr EY == 0                 -40483180.6929</t>
  </si>
  <si>
    <t>15 min EY - 1 Hr EY == 0                          -39655406.8877</t>
  </si>
  <si>
    <t>15 min EY mesab 3 mM - 1 Hr EY == 0               -51481637.6141</t>
  </si>
  <si>
    <t>15 min UF - 1 Hr EY == 0                          -57773596.6192</t>
  </si>
  <si>
    <t>2 Hr EY - 1 Hr EY == 0                             89277923.9391</t>
  </si>
  <si>
    <t>2 Hr EY mesab 3 mM - 1 Hr EY == 0                 -30982014.2833</t>
  </si>
  <si>
    <t>30 min EY - 1 Hr EY == 0                          -22245073.3396</t>
  </si>
  <si>
    <t>30 min EY mesab 3 mM - 1 Hr EY == 0               -47036064.9031</t>
  </si>
  <si>
    <t>15 min EY - 1 Hr EY mesab 3 mM == 0                  827773.8052</t>
  </si>
  <si>
    <t>15 min EY mesab 3 mM - 1 Hr EY mesab 3 mM == 0    -10998456.9212</t>
  </si>
  <si>
    <t>15 min UF - 1 Hr EY mesab 3 mM == 0               -17290415.9263</t>
  </si>
  <si>
    <t>2 Hr EY - 1 Hr EY mesab 3 mM == 0                 129761104.6320</t>
  </si>
  <si>
    <t>2 Hr EY mesab 3 mM - 1 Hr EY mesab 3 mM == 0        9501166.4097</t>
  </si>
  <si>
    <t>30 min EY - 1 Hr EY mesab 3 mM == 0                18238107.3533</t>
  </si>
  <si>
    <t>30 min EY mesab 3 mM - 1 Hr EY mesab 3 mM == 0     -6552884.2101</t>
  </si>
  <si>
    <t>15 min EY mesab 3 mM - 15 min EY == 0             -11826230.7264</t>
  </si>
  <si>
    <t>15 min UF - 15 min EY == 0                        -18118189.7315</t>
  </si>
  <si>
    <t>2 Hr EY - 15 min EY == 0                          128933330.8268</t>
  </si>
  <si>
    <t>2 Hr EY mesab 3 mM - 15 min EY == 0                 8673392.6044</t>
  </si>
  <si>
    <t>30 min EY - 15 min EY == 0                         17410333.5481</t>
  </si>
  <si>
    <t>30 min EY mesab 3 mM - 15 min EY == 0              -7380658.0153</t>
  </si>
  <si>
    <t>15 min UF - 15 min EY mesab 3 mM == 0              -6291959.0051</t>
  </si>
  <si>
    <t>2 Hr EY - 15 min EY mesab 3 mM == 0               140759561.5532</t>
  </si>
  <si>
    <t>2 Hr EY mesab 3 mM - 15 min EY mesab 3 mM == 0     20499623.3309</t>
  </si>
  <si>
    <t>30 min EY - 15 min EY mesab 3 mM == 0              29236564.2745</t>
  </si>
  <si>
    <t>30 min EY mesab 3 mM - 15 min EY mesab 3 mM == 0    4445572.7111</t>
  </si>
  <si>
    <t>2 Hr EY - 15 min UF == 0                          147051520.5583</t>
  </si>
  <si>
    <t>2 Hr EY mesab 3 mM - 15 min UF == 0                26791582.3359</t>
  </si>
  <si>
    <t>30 min EY - 15 min UF == 0                         35528523.2796</t>
  </si>
  <si>
    <t>30 min EY mesab 3 mM - 15 min UF == 0              10737531.7161</t>
  </si>
  <si>
    <t>2 Hr EY mesab 3 mM - 2 Hr EY == 0                -120259938.2223</t>
  </si>
  <si>
    <t>30 min EY - 2 Hr EY == 0                         -111522997.2787</t>
  </si>
  <si>
    <t>30 min EY mesab 3 mM - 2 Hr EY == 0              -136313988.8421</t>
  </si>
  <si>
    <t>30 min EY - 2 Hr EY mesab 3 mM == 0                 8736940.9437</t>
  </si>
  <si>
    <t>30 min EY mesab 3 mM - 2 Hr EY mesab 3 mM == 0    -16054050.6198</t>
  </si>
  <si>
    <t>30 min EY mesab 3 mM - 30 min EY == 0             -24790991.5635</t>
  </si>
  <si>
    <t xml:space="preserve">                                                 lwr            </t>
  </si>
  <si>
    <t>1 Hr EY mesab 3 mM - 1 Hr EY == 0                 -82006910.1253</t>
  </si>
  <si>
    <t>15 min EY - 1 Hr EY == 0                          -79898712.2807</t>
  </si>
  <si>
    <t>15 min EY mesab 3 mM - 1 Hr EY == 0               -92330139.4539</t>
  </si>
  <si>
    <t>15 min UF - 1 Hr EY == 0                          -99297326.0516</t>
  </si>
  <si>
    <t>2 Hr EY - 1 Hr EY == 0                             48429422.0993</t>
  </si>
  <si>
    <t>2 Hr EY mesab 3 mM - 1 Hr EY == 0                 -73264230.6888</t>
  </si>
  <si>
    <t>30 min EY - 1 Hr EY == 0                          -62488378.7325</t>
  </si>
  <si>
    <t>30 min EY mesab 3 mM - 1 Hr EY == 0               -87884566.7428</t>
  </si>
  <si>
    <t>15 min EY - 1 Hr EY mesab 3 mM == 0               -40100744.7652</t>
  </si>
  <si>
    <t>15 min EY mesab 3 mM - 1 Hr EY mesab 3 mM == 0    -52522186.3536</t>
  </si>
  <si>
    <t>15 min UF - 1 Hr EY mesab 3 mM == 0               -59478567.2177</t>
  </si>
  <si>
    <t>2 Hr EY - 1 Hr EY mesab 3 mM == 0                  88237375.1996</t>
  </si>
  <si>
    <t>2 Hr EY mesab 3 mM - 1 Hr EY mesab 3 mM == 0      -33433735.7980</t>
  </si>
  <si>
    <t>30 min EY - 1 Hr EY mesab 3 mM == 0               -22690411.2171</t>
  </si>
  <si>
    <t>30 min EY mesab 3 mM - 1 Hr EY mesab 3 mM == 0    -48076613.6425</t>
  </si>
  <si>
    <t>15 min EY mesab 3 mM - 15 min EY == 0             -52069536.1194</t>
  </si>
  <si>
    <t>15 min UF - 15 min EY == 0                        -59046708.3019</t>
  </si>
  <si>
    <t>2 Hr EY - 15 min EY == 0                           88690025.4338</t>
  </si>
  <si>
    <t>2 Hr EY mesab 3 mM - 15 min EY == 0               -33024441.2789</t>
  </si>
  <si>
    <t>30 min EY - 15 min EY == 0                        -22218534.1539</t>
  </si>
  <si>
    <t>30 min EY mesab 3 mM - 15 min EY == 0             -47623963.4083</t>
  </si>
  <si>
    <t>15 min UF - 15 min EY mesab 3 mM == 0             -47815688.4374</t>
  </si>
  <si>
    <t>2 Hr EY - 15 min EY mesab 3 mM == 0                99911059.7134</t>
  </si>
  <si>
    <t>2 Hr EY mesab 3 mM - 15 min EY mesab 3 mM == 0    -21782593.0747</t>
  </si>
  <si>
    <t>30 min EY - 15 min EY mesab 3 mM == 0             -11006741.1184</t>
  </si>
  <si>
    <t>30 min EY mesab 3 mM - 15 min EY mesab 3 mM == 0  -36402929.1287</t>
  </si>
  <si>
    <t>2 Hr EY - 15 min UF == 0                          105527791.1259</t>
  </si>
  <si>
    <t>2 Hr EY mesab 3 mM - 15 min UF == 0               -16143319.8718</t>
  </si>
  <si>
    <t>30 min EY - 15 min UF == 0                         -5399995.2908</t>
  </si>
  <si>
    <t>30 min EY mesab 3 mM - 15 min UF == 0             -30786197.7162</t>
  </si>
  <si>
    <t>2 Hr EY mesab 3 mM - 2 Hr EY == 0                -162542154.6279</t>
  </si>
  <si>
    <t>30 min EY - 2 Hr EY == 0                         -151766302.6716</t>
  </si>
  <si>
    <t>30 min EY mesab 3 mM - 2 Hr EY == 0              -177162490.6819</t>
  </si>
  <si>
    <t>30 min EY - 2 Hr EY mesab 3 mM == 0               -32960892.9396</t>
  </si>
  <si>
    <t>30 min EY mesab 3 mM - 2 Hr EY mesab 3 mM == 0    -58336267.0253</t>
  </si>
  <si>
    <t>30 min EY mesab 3 mM - 30 min EY == 0             -65034296.9564</t>
  </si>
  <si>
    <t xml:space="preserve">                                                 upr            </t>
  </si>
  <si>
    <t>1 Hr EY mesab 3 mM - 1 Hr EY == 0                   1040548.7394</t>
  </si>
  <si>
    <t>15 min EY - 1 Hr EY == 0                             587898.5052</t>
  </si>
  <si>
    <t>15 min EY mesab 3 mM - 1 Hr EY == 0               -10633135.7744</t>
  </si>
  <si>
    <t>15 min UF - 1 Hr EY == 0                          -16249867.1868</t>
  </si>
  <si>
    <t>2 Hr EY - 1 Hr EY == 0                            130126425.7788</t>
  </si>
  <si>
    <t>2 Hr EY mesab 3 mM - 1 Hr EY == 0                  11300202.1223</t>
  </si>
  <si>
    <t>30 min EY - 1 Hr EY == 0                           17998232.0533</t>
  </si>
  <si>
    <t>30 min EY mesab 3 mM - 1 Hr EY == 0                -6187563.0633</t>
  </si>
  <si>
    <t>15 min EY - 1 Hr EY mesab 3 mM == 0                41756292.3756</t>
  </si>
  <si>
    <t>15 min EY mesab 3 mM - 1 Hr EY mesab 3 mM == 0     30525272.5112</t>
  </si>
  <si>
    <t>15 min UF - 1 Hr EY mesab 3 mM == 0                24897735.3652</t>
  </si>
  <si>
    <t>2 Hr EY - 1 Hr EY mesab 3 mM == 0                 171284834.0644</t>
  </si>
  <si>
    <t>2 Hr EY mesab 3 mM - 1 Hr EY mesab 3 mM == 0       52436068.6173</t>
  </si>
  <si>
    <t>30 min EY - 1 Hr EY mesab 3 mM == 0                59166625.9237</t>
  </si>
  <si>
    <t>30 min EY mesab 3 mM - 1 Hr EY mesab 3 mM == 0     34970845.2222</t>
  </si>
  <si>
    <t>15 min EY mesab 3 mM - 15 min EY == 0              28417074.6665</t>
  </si>
  <si>
    <t>15 min UF - 15 min EY == 0                         22810328.8389</t>
  </si>
  <si>
    <t>2 Hr EY - 15 min EY == 0                          169176636.2197</t>
  </si>
  <si>
    <t>2 Hr EY mesab 3 mM - 15 min EY == 0                50371226.4878</t>
  </si>
  <si>
    <t>30 min EY - 15 min EY == 0                         57039201.2501</t>
  </si>
  <si>
    <t>30 min EY mesab 3 mM - 15 min EY == 0              32862647.3776</t>
  </si>
  <si>
    <t>15 min UF - 15 min EY mesab 3 mM == 0              35231770.4273</t>
  </si>
  <si>
    <t>2 Hr EY - 15 min EY mesab 3 mM == 0               181608063.3930</t>
  </si>
  <si>
    <t>2 Hr EY mesab 3 mM - 15 min EY mesab 3 mM == 0     62781839.7364</t>
  </si>
  <si>
    <t>30 min EY - 15 min EY mesab 3 mM == 0              69479869.6675</t>
  </si>
  <si>
    <t>30 min EY mesab 3 mM - 15 min EY mesab 3 mM == 0   45294074.5508</t>
  </si>
  <si>
    <t>2 Hr EY - 15 min UF == 0                          188575249.9906</t>
  </si>
  <si>
    <t>2 Hr EY mesab 3 mM - 15 min UF == 0                69726484.5436</t>
  </si>
  <si>
    <t>30 min EY - 15 min UF == 0                         76457041.8500</t>
  </si>
  <si>
    <t>30 min EY mesab 3 mM - 15 min UF == 0              52261261.1485</t>
  </si>
  <si>
    <t>2 Hr EY mesab 3 mM - 2 Hr EY == 0                 -77977721.8168</t>
  </si>
  <si>
    <t>30 min EY - 2 Hr EY == 0                          -71279691.8857</t>
  </si>
  <si>
    <t>30 min EY mesab 3 mM - 2 Hr EY == 0               -95465487.0024</t>
  </si>
  <si>
    <t>30 min EY - 2 Hr EY mesab 3 mM == 0                50434774.8270</t>
  </si>
  <si>
    <t>30 min EY mesab 3 mM - 2 Hr EY mesab 3 mM == 0     26228165.7857</t>
  </si>
  <si>
    <t>30 min EY mesab 3 mM - 30 min EY == 0              15452313.8295</t>
  </si>
  <si>
    <t xml:space="preserve">             1 Hr EY   1 Hr EY mesab 3 mM            15 min EY </t>
  </si>
  <si>
    <t xml:space="preserve">                 "a"                 "ab"                 "ab" </t>
  </si>
  <si>
    <t xml:space="preserve">15 min EY mesab 3 mM            15 min UF              2 Hr EY </t>
  </si>
  <si>
    <t xml:space="preserve">                 "b"                  "b"                  "c" </t>
  </si>
  <si>
    <t xml:space="preserve">  2 Hr EY mesab 3 mM            30 min EY 30 min EY mesab 3 mM </t>
  </si>
  <si>
    <t xml:space="preserve">                "ab"                 "ab"                  "b" </t>
  </si>
  <si>
    <t>mean</t>
  </si>
  <si>
    <t>sd data:</t>
  </si>
  <si>
    <t>n</t>
  </si>
  <si>
    <t>3.378e-13</t>
  </si>
  <si>
    <t>2.807e-7</t>
  </si>
  <si>
    <t>vs UF</t>
  </si>
  <si>
    <t>2.051e-9</t>
  </si>
  <si>
    <t>5.43e-13</t>
  </si>
  <si>
    <t>2.424e-10</t>
  </si>
  <si>
    <t>1.162e-9</t>
  </si>
  <si>
    <t>vs mesab</t>
  </si>
  <si>
    <t>2.068e-8</t>
  </si>
  <si>
    <t>https://www.statskingdom.com/150MeanT2uneq.html</t>
  </si>
  <si>
    <t>***</t>
  </si>
  <si>
    <t>Bonferoni</t>
  </si>
  <si>
    <t>Welsh's t-tests</t>
  </si>
  <si>
    <t>a = 0.05</t>
  </si>
  <si>
    <t>Unfed vs 15 min EY mesab</t>
  </si>
  <si>
    <t>Unfed vs 15 min EY</t>
  </si>
  <si>
    <t>15 min EY mesab vs 15 min EY</t>
  </si>
  <si>
    <t>Unfed vs 30 min EY mesab</t>
  </si>
  <si>
    <t>Unfed vs 30 min EY</t>
  </si>
  <si>
    <t>30 min EY mesab vs 30 min EY</t>
  </si>
  <si>
    <t>Unfed vs 2h min EY mesab</t>
  </si>
  <si>
    <t>Unfed vs 2h min EY</t>
  </si>
  <si>
    <t>2h EY mesab vs 2h EY</t>
  </si>
  <si>
    <t>Unfed vs 1h EY</t>
  </si>
  <si>
    <t>Unfed vs 1h EY mesab</t>
  </si>
  <si>
    <t>1h EY mesab vs 1h EY</t>
  </si>
  <si>
    <t>UF 8 comparisons</t>
  </si>
  <si>
    <t>mesabs 2 comparisons, each</t>
  </si>
  <si>
    <t>EYs 2 comparisons, each</t>
  </si>
  <si>
    <t># comparisons  x a = 0.05</t>
  </si>
  <si>
    <t>**</t>
  </si>
  <si>
    <t>so 2+2 = 4 comparisons for EY vs. mesab</t>
  </si>
  <si>
    <t>8+2 = 10 comparisons for UF vs EY or mesab</t>
  </si>
  <si>
    <t>ANOVA with Tukey pairwise comparison probably not the right test</t>
  </si>
  <si>
    <t>Unfeds and EY15s</t>
  </si>
  <si>
    <t>20ms no outliers</t>
  </si>
  <si>
    <t>5 ms all outliers</t>
  </si>
  <si>
    <t>Unfeds and EY30s</t>
  </si>
  <si>
    <t>Unfeds and EYh1s</t>
  </si>
  <si>
    <t>Unfeds and EYh2s</t>
  </si>
  <si>
    <t>UF 4 comparisons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</si>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</sst>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rgb="FF000000"/>
      <name val="Arial"/>
      <family val="2"/>
    </font>
    <font>
      <sz val="10.8"/>
      <color rgb="FF000000"/>
      <name val="Lucida Console"/>
      <family val="2"/>
    </font>
    <font>
      <sz val="10.8"/>
      <color rgb="FF9A6E3A"/>
      <name val="Lucida Console"/>
      <family val="2"/>
    </font>
    <font>
      <sz val="10.8"/>
      <color rgb="FF1C00CF"/>
      <name val="Lucida Console"/>
      <family val="2"/>
    </font>
    <font>
      <sz val="10.8"/>
      <color rgb="FF999999"/>
      <name val="Lucida Console"/>
      <family val="2"/>
    </font>
    <font>
      <sz val="10.8"/>
      <color rgb="FFC41A16"/>
      <name val="Lucida Console"/>
      <family val="2"/>
    </font>
    <font>
      <sz val="10.8"/>
      <color rgb="FF007400"/>
      <name val="Lucida Console"/>
      <family val="2"/>
    </font>
    <font>
      <b/>
      <sz val="10.8"/>
      <color rgb="FF000000"/>
      <name val="Lucida Console"/>
      <family val="2"/>
    </font>
    <font>
      <b/>
      <sz val="16"/>
      <color rgb="FFBF344E"/>
      <name val="Helvetica Neue"/>
      <family val="2"/>
    </font>
    <font>
      <sz val="12"/>
      <color rgb="FF000000"/>
      <name val="Aptos Narrow"/>
      <family val="2"/>
      <scheme val="minor"/>
    </font>
    <font>
      <sz val="12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11" fontId="0" fillId="0" borderId="0" xfId="0" applyNumberForma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quotePrefix="1" applyFont="1"/>
    <xf numFmtId="0" fontId="11" fillId="0" borderId="0" xfId="0" applyFont="1"/>
    <xf numFmtId="0" fontId="2" fillId="0" borderId="0" xfId="0" applyFont="1"/>
    <xf numFmtId="2" fontId="0" fillId="0" borderId="0" xfId="0" applyNumberFormat="1"/>
    <xf numFmtId="0" fontId="12" fillId="0" borderId="0" xfId="0" applyFont="1"/>
    <xf numFmtId="0" fontId="13" fillId="0" borderId="0" xfId="0" applyFont="1"/>
    <xf numFmtId="11" fontId="13" fillId="0" borderId="0" xfId="0" quotePrefix="1" applyNumberFormat="1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A901-A0BC-8540-B004-BBF40CC97A83}">
  <sheetPr>
    <tabColor rgb="FF92D050"/>
  </sheetPr>
  <dimension ref="A1:C143"/>
  <sheetViews>
    <sheetView workbookViewId="0">
      <selection sqref="A1:C143"/>
    </sheetView>
  </sheetViews>
  <sheetFormatPr baseColWidth="10" defaultRowHeight="16" x14ac:dyDescent="0.2"/>
  <cols>
    <col min="2" max="2" width="21.33203125" customWidth="1"/>
    <col min="3" max="3" width="16" customWidth="1"/>
  </cols>
  <sheetData>
    <row r="1" spans="1:3" ht="17" x14ac:dyDescent="0.2">
      <c r="A1" t="s">
        <v>0</v>
      </c>
      <c r="B1" t="s">
        <v>1</v>
      </c>
      <c r="C1" s="1" t="s">
        <v>13</v>
      </c>
    </row>
    <row r="2" spans="1:3" x14ac:dyDescent="0.2">
      <c r="A2" t="s">
        <v>11</v>
      </c>
      <c r="B2" t="s">
        <v>2</v>
      </c>
      <c r="C2" s="10">
        <v>48720523.567000002</v>
      </c>
    </row>
    <row r="3" spans="1:3" x14ac:dyDescent="0.2">
      <c r="A3" t="s">
        <v>11</v>
      </c>
      <c r="B3" t="s">
        <v>2</v>
      </c>
      <c r="C3" s="10">
        <v>50589600.895000003</v>
      </c>
    </row>
    <row r="4" spans="1:3" x14ac:dyDescent="0.2">
      <c r="A4" t="s">
        <v>11</v>
      </c>
      <c r="B4" t="s">
        <v>2</v>
      </c>
      <c r="C4" s="10">
        <v>47890255.864</v>
      </c>
    </row>
    <row r="5" spans="1:3" x14ac:dyDescent="0.2">
      <c r="A5" t="s">
        <v>11</v>
      </c>
      <c r="B5" t="s">
        <v>2</v>
      </c>
      <c r="C5" s="10">
        <v>48033460.178999998</v>
      </c>
    </row>
    <row r="6" spans="1:3" x14ac:dyDescent="0.2">
      <c r="A6" t="s">
        <v>11</v>
      </c>
      <c r="B6" t="s">
        <v>2</v>
      </c>
      <c r="C6" s="10">
        <v>49393266.523000002</v>
      </c>
    </row>
    <row r="7" spans="1:3" x14ac:dyDescent="0.2">
      <c r="A7" t="s">
        <v>11</v>
      </c>
      <c r="B7" t="s">
        <v>2</v>
      </c>
      <c r="C7" s="10">
        <v>50566088.364</v>
      </c>
    </row>
    <row r="8" spans="1:3" x14ac:dyDescent="0.2">
      <c r="A8" t="s">
        <v>11</v>
      </c>
      <c r="B8" t="s">
        <v>2</v>
      </c>
      <c r="C8" s="10">
        <v>49364124.086999997</v>
      </c>
    </row>
    <row r="9" spans="1:3" x14ac:dyDescent="0.2">
      <c r="A9" t="s">
        <v>11</v>
      </c>
      <c r="B9" t="s">
        <v>2</v>
      </c>
      <c r="C9" s="10">
        <v>49276461.346000001</v>
      </c>
    </row>
    <row r="10" spans="1:3" x14ac:dyDescent="0.2">
      <c r="A10" t="s">
        <v>11</v>
      </c>
      <c r="B10" t="s">
        <v>7</v>
      </c>
      <c r="C10" s="10">
        <v>57498139.391999997</v>
      </c>
    </row>
    <row r="11" spans="1:3" x14ac:dyDescent="0.2">
      <c r="A11" t="s">
        <v>11</v>
      </c>
      <c r="B11" t="s">
        <v>7</v>
      </c>
      <c r="C11" s="10">
        <v>55818462.309</v>
      </c>
    </row>
    <row r="12" spans="1:3" x14ac:dyDescent="0.2">
      <c r="A12" t="s">
        <v>11</v>
      </c>
      <c r="B12" t="s">
        <v>7</v>
      </c>
      <c r="C12" s="10">
        <v>56008108.222999997</v>
      </c>
    </row>
    <row r="13" spans="1:3" x14ac:dyDescent="0.2">
      <c r="A13" t="s">
        <v>11</v>
      </c>
      <c r="B13" t="s">
        <v>7</v>
      </c>
      <c r="C13" s="10">
        <v>56372322.141999997</v>
      </c>
    </row>
    <row r="14" spans="1:3" x14ac:dyDescent="0.2">
      <c r="A14" t="s">
        <v>11</v>
      </c>
      <c r="B14" t="s">
        <v>7</v>
      </c>
      <c r="C14" s="10">
        <v>56305848.316</v>
      </c>
    </row>
    <row r="15" spans="1:3" x14ac:dyDescent="0.2">
      <c r="A15" t="s">
        <v>11</v>
      </c>
      <c r="B15" t="s">
        <v>7</v>
      </c>
      <c r="C15" s="10">
        <v>54686943.5</v>
      </c>
    </row>
    <row r="16" spans="1:3" x14ac:dyDescent="0.2">
      <c r="A16" t="s">
        <v>11</v>
      </c>
      <c r="B16" t="s">
        <v>7</v>
      </c>
      <c r="C16" s="10">
        <v>53224488.630000003</v>
      </c>
    </row>
    <row r="17" spans="1:3" x14ac:dyDescent="0.2">
      <c r="A17" t="s">
        <v>11</v>
      </c>
      <c r="B17" t="s">
        <v>7</v>
      </c>
      <c r="C17" s="10">
        <v>58090599.902000003</v>
      </c>
    </row>
    <row r="18" spans="1:3" x14ac:dyDescent="0.2">
      <c r="A18" t="s">
        <v>11</v>
      </c>
      <c r="B18" t="s">
        <v>3</v>
      </c>
      <c r="C18" s="10">
        <v>60725692.361000001</v>
      </c>
    </row>
    <row r="19" spans="1:3" x14ac:dyDescent="0.2">
      <c r="A19" t="s">
        <v>11</v>
      </c>
      <c r="B19" t="s">
        <v>3</v>
      </c>
      <c r="C19" s="10">
        <v>61457784.754000001</v>
      </c>
    </row>
    <row r="20" spans="1:3" x14ac:dyDescent="0.2">
      <c r="A20" t="s">
        <v>11</v>
      </c>
      <c r="B20" t="s">
        <v>3</v>
      </c>
      <c r="C20" s="10">
        <v>83510379.125</v>
      </c>
    </row>
    <row r="21" spans="1:3" x14ac:dyDescent="0.2">
      <c r="A21" t="s">
        <v>11</v>
      </c>
      <c r="B21" t="s">
        <v>3</v>
      </c>
      <c r="C21" s="10">
        <v>62349531.020999998</v>
      </c>
    </row>
    <row r="22" spans="1:3" x14ac:dyDescent="0.2">
      <c r="A22" t="s">
        <v>11</v>
      </c>
      <c r="B22" t="s">
        <v>3</v>
      </c>
      <c r="C22" s="10">
        <v>68630550.054000005</v>
      </c>
    </row>
    <row r="23" spans="1:3" x14ac:dyDescent="0.2">
      <c r="A23" t="s">
        <v>11</v>
      </c>
      <c r="B23" t="s">
        <v>3</v>
      </c>
      <c r="C23" s="10">
        <v>67950508.693000004</v>
      </c>
    </row>
    <row r="24" spans="1:3" x14ac:dyDescent="0.2">
      <c r="A24" t="s">
        <v>11</v>
      </c>
      <c r="B24" t="s">
        <v>3</v>
      </c>
      <c r="C24" s="10">
        <v>74418860.261000007</v>
      </c>
    </row>
    <row r="25" spans="1:3" x14ac:dyDescent="0.2">
      <c r="A25" t="s">
        <v>11</v>
      </c>
      <c r="B25" t="s">
        <v>3</v>
      </c>
      <c r="C25" s="10">
        <v>78070099.417999998</v>
      </c>
    </row>
    <row r="26" spans="1:3" x14ac:dyDescent="0.2">
      <c r="A26" t="s">
        <v>11</v>
      </c>
      <c r="B26" t="s">
        <v>3</v>
      </c>
      <c r="C26" s="10">
        <v>57949760.147</v>
      </c>
    </row>
    <row r="27" spans="1:3" x14ac:dyDescent="0.2">
      <c r="A27" t="s">
        <v>11</v>
      </c>
      <c r="B27" t="s">
        <v>8</v>
      </c>
      <c r="C27" s="10">
        <v>58018189.085000001</v>
      </c>
    </row>
    <row r="28" spans="1:3" x14ac:dyDescent="0.2">
      <c r="A28" t="s">
        <v>11</v>
      </c>
      <c r="B28" t="s">
        <v>8</v>
      </c>
      <c r="C28" s="10">
        <v>61061234.707999997</v>
      </c>
    </row>
    <row r="29" spans="1:3" x14ac:dyDescent="0.2">
      <c r="A29" t="s">
        <v>11</v>
      </c>
      <c r="B29" t="s">
        <v>8</v>
      </c>
      <c r="C29" s="10">
        <v>61590711.931999996</v>
      </c>
    </row>
    <row r="30" spans="1:3" x14ac:dyDescent="0.2">
      <c r="A30" t="s">
        <v>11</v>
      </c>
      <c r="B30" t="s">
        <v>8</v>
      </c>
      <c r="C30" s="10">
        <v>63747426.233000003</v>
      </c>
    </row>
    <row r="31" spans="1:3" x14ac:dyDescent="0.2">
      <c r="A31" t="s">
        <v>11</v>
      </c>
      <c r="B31" t="s">
        <v>8</v>
      </c>
      <c r="C31" s="10">
        <v>62333296.421999998</v>
      </c>
    </row>
    <row r="32" spans="1:3" x14ac:dyDescent="0.2">
      <c r="A32" t="s">
        <v>11</v>
      </c>
      <c r="B32" t="s">
        <v>8</v>
      </c>
      <c r="C32" s="10">
        <v>57330429.636</v>
      </c>
    </row>
    <row r="33" spans="1:3" x14ac:dyDescent="0.2">
      <c r="A33" t="s">
        <v>11</v>
      </c>
      <c r="B33" t="s">
        <v>8</v>
      </c>
      <c r="C33" s="10">
        <v>57535112.515000001</v>
      </c>
    </row>
    <row r="34" spans="1:3" x14ac:dyDescent="0.2">
      <c r="A34" t="s">
        <v>11</v>
      </c>
      <c r="B34" t="s">
        <v>8</v>
      </c>
      <c r="C34" s="10">
        <v>60023520.354000002</v>
      </c>
    </row>
    <row r="35" spans="1:3" x14ac:dyDescent="0.2">
      <c r="A35" t="s">
        <v>11</v>
      </c>
      <c r="B35" t="s">
        <v>4</v>
      </c>
      <c r="C35" s="10">
        <v>67519022.525999993</v>
      </c>
    </row>
    <row r="36" spans="1:3" x14ac:dyDescent="0.2">
      <c r="A36" t="s">
        <v>11</v>
      </c>
      <c r="B36" t="s">
        <v>4</v>
      </c>
      <c r="C36" s="10">
        <v>83382242.483999997</v>
      </c>
    </row>
    <row r="37" spans="1:3" x14ac:dyDescent="0.2">
      <c r="A37" t="s">
        <v>11</v>
      </c>
      <c r="B37" t="s">
        <v>4</v>
      </c>
      <c r="C37" s="10">
        <v>65730504.022</v>
      </c>
    </row>
    <row r="38" spans="1:3" x14ac:dyDescent="0.2">
      <c r="A38" t="s">
        <v>11</v>
      </c>
      <c r="B38" t="s">
        <v>4</v>
      </c>
      <c r="C38" s="10">
        <v>94211856.375</v>
      </c>
    </row>
    <row r="39" spans="1:3" x14ac:dyDescent="0.2">
      <c r="A39" t="s">
        <v>11</v>
      </c>
      <c r="B39" t="s">
        <v>4</v>
      </c>
      <c r="C39" s="10">
        <v>90261976.340000004</v>
      </c>
    </row>
    <row r="40" spans="1:3" x14ac:dyDescent="0.2">
      <c r="A40" t="s">
        <v>11</v>
      </c>
      <c r="B40" t="s">
        <v>4</v>
      </c>
      <c r="C40" s="10">
        <v>75971741.643999994</v>
      </c>
    </row>
    <row r="41" spans="1:3" x14ac:dyDescent="0.2">
      <c r="A41" t="s">
        <v>11</v>
      </c>
      <c r="B41" t="s">
        <v>4</v>
      </c>
      <c r="C41" s="10">
        <v>86940373.246999994</v>
      </c>
    </row>
    <row r="42" spans="1:3" x14ac:dyDescent="0.2">
      <c r="A42" t="s">
        <v>11</v>
      </c>
      <c r="B42" t="s">
        <v>4</v>
      </c>
      <c r="C42" s="10">
        <v>104431946.02500001</v>
      </c>
    </row>
    <row r="43" spans="1:3" x14ac:dyDescent="0.2">
      <c r="A43" t="s">
        <v>11</v>
      </c>
      <c r="B43" t="s">
        <v>4</v>
      </c>
      <c r="C43" s="10">
        <v>98137374.275000006</v>
      </c>
    </row>
    <row r="44" spans="1:3" x14ac:dyDescent="0.2">
      <c r="A44" t="s">
        <v>11</v>
      </c>
      <c r="B44" t="s">
        <v>9</v>
      </c>
      <c r="C44" s="10">
        <v>70222195.893000007</v>
      </c>
    </row>
    <row r="45" spans="1:3" x14ac:dyDescent="0.2">
      <c r="A45" t="s">
        <v>11</v>
      </c>
      <c r="B45" t="s">
        <v>9</v>
      </c>
      <c r="C45" s="10">
        <v>64873089.941</v>
      </c>
    </row>
    <row r="46" spans="1:3" x14ac:dyDescent="0.2">
      <c r="A46" t="s">
        <v>11</v>
      </c>
      <c r="B46" t="s">
        <v>9</v>
      </c>
      <c r="C46" s="10">
        <v>63360262.773999996</v>
      </c>
    </row>
    <row r="47" spans="1:3" x14ac:dyDescent="0.2">
      <c r="A47" t="s">
        <v>11</v>
      </c>
      <c r="B47" t="s">
        <v>9</v>
      </c>
      <c r="C47" s="10">
        <v>67318004.203999996</v>
      </c>
    </row>
    <row r="48" spans="1:3" x14ac:dyDescent="0.2">
      <c r="A48" t="s">
        <v>11</v>
      </c>
      <c r="B48" t="s">
        <v>9</v>
      </c>
      <c r="C48" s="10">
        <v>65469532.328000002</v>
      </c>
    </row>
    <row r="49" spans="1:3" x14ac:dyDescent="0.2">
      <c r="A49" t="s">
        <v>11</v>
      </c>
      <c r="B49" t="s">
        <v>9</v>
      </c>
      <c r="C49" s="10">
        <v>58027985.119999997</v>
      </c>
    </row>
    <row r="50" spans="1:3" x14ac:dyDescent="0.2">
      <c r="A50" t="s">
        <v>11</v>
      </c>
      <c r="B50" t="s">
        <v>9</v>
      </c>
      <c r="C50" s="10">
        <v>62426486.706</v>
      </c>
    </row>
    <row r="51" spans="1:3" x14ac:dyDescent="0.2">
      <c r="A51" t="s">
        <v>11</v>
      </c>
      <c r="B51" t="s">
        <v>9</v>
      </c>
      <c r="C51" s="10">
        <v>68907551.623999998</v>
      </c>
    </row>
    <row r="52" spans="1:3" x14ac:dyDescent="0.2">
      <c r="A52" t="s">
        <v>11</v>
      </c>
      <c r="B52" t="s">
        <v>5</v>
      </c>
      <c r="C52" s="10">
        <v>114784522.698</v>
      </c>
    </row>
    <row r="53" spans="1:3" x14ac:dyDescent="0.2">
      <c r="A53" t="s">
        <v>11</v>
      </c>
      <c r="B53" t="s">
        <v>5</v>
      </c>
      <c r="C53" s="10">
        <v>117737305.586</v>
      </c>
    </row>
    <row r="54" spans="1:3" x14ac:dyDescent="0.2">
      <c r="A54" t="s">
        <v>11</v>
      </c>
      <c r="B54" t="s">
        <v>5</v>
      </c>
      <c r="C54" s="10">
        <v>96040920.431999996</v>
      </c>
    </row>
    <row r="55" spans="1:3" x14ac:dyDescent="0.2">
      <c r="A55" t="s">
        <v>11</v>
      </c>
      <c r="B55" t="s">
        <v>5</v>
      </c>
      <c r="C55" s="10">
        <v>101008963.69499999</v>
      </c>
    </row>
    <row r="56" spans="1:3" x14ac:dyDescent="0.2">
      <c r="A56" t="s">
        <v>11</v>
      </c>
      <c r="B56" t="s">
        <v>5</v>
      </c>
      <c r="C56" s="10">
        <v>96325486.546000004</v>
      </c>
    </row>
    <row r="57" spans="1:3" x14ac:dyDescent="0.2">
      <c r="A57" t="s">
        <v>11</v>
      </c>
      <c r="B57" t="s">
        <v>5</v>
      </c>
      <c r="C57" s="10">
        <v>136386612.05899999</v>
      </c>
    </row>
    <row r="58" spans="1:3" x14ac:dyDescent="0.2">
      <c r="A58" t="s">
        <v>11</v>
      </c>
      <c r="B58" t="s">
        <v>5</v>
      </c>
      <c r="C58" s="10">
        <v>94914396.884000003</v>
      </c>
    </row>
    <row r="59" spans="1:3" x14ac:dyDescent="0.2">
      <c r="A59" t="s">
        <v>11</v>
      </c>
      <c r="B59" t="s">
        <v>5</v>
      </c>
      <c r="C59" s="10">
        <v>75312602.584999993</v>
      </c>
    </row>
    <row r="60" spans="1:3" x14ac:dyDescent="0.2">
      <c r="A60" t="s">
        <v>11</v>
      </c>
      <c r="B60" t="s">
        <v>10</v>
      </c>
      <c r="C60" s="10">
        <v>79137846.756999999</v>
      </c>
    </row>
    <row r="61" spans="1:3" x14ac:dyDescent="0.2">
      <c r="A61" t="s">
        <v>11</v>
      </c>
      <c r="B61" t="s">
        <v>10</v>
      </c>
      <c r="C61" s="10">
        <v>79824521.169</v>
      </c>
    </row>
    <row r="62" spans="1:3" x14ac:dyDescent="0.2">
      <c r="A62" t="s">
        <v>11</v>
      </c>
      <c r="B62" t="s">
        <v>10</v>
      </c>
      <c r="C62" s="10">
        <v>73254063.593999997</v>
      </c>
    </row>
    <row r="63" spans="1:3" x14ac:dyDescent="0.2">
      <c r="A63" t="s">
        <v>11</v>
      </c>
      <c r="B63" t="s">
        <v>10</v>
      </c>
      <c r="C63" s="10">
        <v>76678059.307999998</v>
      </c>
    </row>
    <row r="64" spans="1:3" x14ac:dyDescent="0.2">
      <c r="A64" t="s">
        <v>11</v>
      </c>
      <c r="B64" t="s">
        <v>10</v>
      </c>
      <c r="C64" s="10">
        <v>78540370.513999999</v>
      </c>
    </row>
    <row r="65" spans="1:3" x14ac:dyDescent="0.2">
      <c r="A65" t="s">
        <v>11</v>
      </c>
      <c r="B65" t="s">
        <v>10</v>
      </c>
      <c r="C65" s="10">
        <v>68997210.422000006</v>
      </c>
    </row>
    <row r="66" spans="1:3" x14ac:dyDescent="0.2">
      <c r="A66" t="s">
        <v>11</v>
      </c>
      <c r="B66" t="s">
        <v>10</v>
      </c>
      <c r="C66" s="10">
        <v>74797885.947999999</v>
      </c>
    </row>
    <row r="67" spans="1:3" x14ac:dyDescent="0.2">
      <c r="A67" t="s">
        <v>11</v>
      </c>
      <c r="B67" t="s">
        <v>10</v>
      </c>
      <c r="C67" s="10">
        <v>64111036.215999998</v>
      </c>
    </row>
    <row r="68" spans="1:3" x14ac:dyDescent="0.2">
      <c r="A68" t="s">
        <v>11</v>
      </c>
      <c r="B68" t="s">
        <v>6</v>
      </c>
      <c r="C68" s="10">
        <v>114319226.392</v>
      </c>
    </row>
    <row r="69" spans="1:3" x14ac:dyDescent="0.2">
      <c r="A69" t="s">
        <v>11</v>
      </c>
      <c r="B69" t="s">
        <v>6</v>
      </c>
      <c r="C69" s="10">
        <v>161804241.683</v>
      </c>
    </row>
    <row r="70" spans="1:3" x14ac:dyDescent="0.2">
      <c r="A70" t="s">
        <v>11</v>
      </c>
      <c r="B70" t="s">
        <v>6</v>
      </c>
      <c r="C70" s="10">
        <v>386296770.898</v>
      </c>
    </row>
    <row r="71" spans="1:3" x14ac:dyDescent="0.2">
      <c r="A71" t="s">
        <v>11</v>
      </c>
      <c r="B71" t="s">
        <v>6</v>
      </c>
      <c r="C71" s="10">
        <v>116562856.191</v>
      </c>
    </row>
    <row r="72" spans="1:3" x14ac:dyDescent="0.2">
      <c r="A72" t="s">
        <v>11</v>
      </c>
      <c r="B72" t="s">
        <v>6</v>
      </c>
      <c r="C72" s="10">
        <v>96502511.237000003</v>
      </c>
    </row>
    <row r="73" spans="1:3" x14ac:dyDescent="0.2">
      <c r="A73" t="s">
        <v>11</v>
      </c>
      <c r="B73" t="s">
        <v>6</v>
      </c>
      <c r="C73" s="10">
        <v>98900717.759000003</v>
      </c>
    </row>
    <row r="74" spans="1:3" x14ac:dyDescent="0.2">
      <c r="A74" t="s">
        <v>11</v>
      </c>
      <c r="B74" t="s">
        <v>6</v>
      </c>
      <c r="C74" s="10">
        <v>121563604.08499999</v>
      </c>
    </row>
    <row r="75" spans="1:3" x14ac:dyDescent="0.2">
      <c r="A75" t="s">
        <v>11</v>
      </c>
      <c r="B75" t="s">
        <v>6</v>
      </c>
      <c r="C75" s="10">
        <v>279124074.44800001</v>
      </c>
    </row>
    <row r="76" spans="1:3" x14ac:dyDescent="0.2">
      <c r="A76" t="s">
        <v>11</v>
      </c>
      <c r="B76" t="s">
        <v>6</v>
      </c>
      <c r="C76" s="10">
        <v>264097990.67699999</v>
      </c>
    </row>
    <row r="77" spans="1:3" x14ac:dyDescent="0.2">
      <c r="A77" t="s">
        <v>12</v>
      </c>
      <c r="B77" t="s">
        <v>2</v>
      </c>
      <c r="C77" s="10">
        <v>50084127.538000003</v>
      </c>
    </row>
    <row r="78" spans="1:3" x14ac:dyDescent="0.2">
      <c r="A78" t="s">
        <v>12</v>
      </c>
      <c r="B78" t="s">
        <v>2</v>
      </c>
      <c r="C78" s="10">
        <v>49272888.914999999</v>
      </c>
    </row>
    <row r="79" spans="1:3" x14ac:dyDescent="0.2">
      <c r="A79" t="s">
        <v>12</v>
      </c>
      <c r="B79" t="s">
        <v>2</v>
      </c>
      <c r="C79" s="10">
        <v>48943304.031999998</v>
      </c>
    </row>
    <row r="80" spans="1:3" x14ac:dyDescent="0.2">
      <c r="A80" t="s">
        <v>12</v>
      </c>
      <c r="B80" t="s">
        <v>2</v>
      </c>
      <c r="C80" s="10">
        <v>48743432.163000003</v>
      </c>
    </row>
    <row r="81" spans="1:3" x14ac:dyDescent="0.2">
      <c r="A81" t="s">
        <v>12</v>
      </c>
      <c r="B81" t="s">
        <v>2</v>
      </c>
      <c r="C81" s="10">
        <v>48365082.064000003</v>
      </c>
    </row>
    <row r="82" spans="1:3" x14ac:dyDescent="0.2">
      <c r="A82" t="s">
        <v>12</v>
      </c>
      <c r="B82" t="s">
        <v>2</v>
      </c>
      <c r="C82" s="10">
        <v>48087732.464000002</v>
      </c>
    </row>
    <row r="83" spans="1:3" x14ac:dyDescent="0.2">
      <c r="A83" t="s">
        <v>12</v>
      </c>
      <c r="B83" t="s">
        <v>2</v>
      </c>
      <c r="C83" s="10">
        <v>46621439.023000002</v>
      </c>
    </row>
    <row r="84" spans="1:3" x14ac:dyDescent="0.2">
      <c r="A84" t="s">
        <v>12</v>
      </c>
      <c r="B84" t="s">
        <v>7</v>
      </c>
      <c r="C84" s="10">
        <v>56146092.079999998</v>
      </c>
    </row>
    <row r="85" spans="1:3" x14ac:dyDescent="0.2">
      <c r="A85" t="s">
        <v>12</v>
      </c>
      <c r="B85" t="s">
        <v>7</v>
      </c>
      <c r="C85" s="10">
        <v>55756226.266999997</v>
      </c>
    </row>
    <row r="86" spans="1:3" x14ac:dyDescent="0.2">
      <c r="A86" t="s">
        <v>12</v>
      </c>
      <c r="B86" t="s">
        <v>7</v>
      </c>
      <c r="C86" s="10">
        <v>55210534.914999999</v>
      </c>
    </row>
    <row r="87" spans="1:3" x14ac:dyDescent="0.2">
      <c r="A87" t="s">
        <v>12</v>
      </c>
      <c r="B87" t="s">
        <v>7</v>
      </c>
      <c r="C87" s="10">
        <v>54294528.875</v>
      </c>
    </row>
    <row r="88" spans="1:3" x14ac:dyDescent="0.2">
      <c r="A88" t="s">
        <v>12</v>
      </c>
      <c r="B88" t="s">
        <v>7</v>
      </c>
      <c r="C88" s="10">
        <v>54187386.662</v>
      </c>
    </row>
    <row r="89" spans="1:3" x14ac:dyDescent="0.2">
      <c r="A89" t="s">
        <v>12</v>
      </c>
      <c r="B89" t="s">
        <v>7</v>
      </c>
      <c r="C89" s="10">
        <v>53876697.788000003</v>
      </c>
    </row>
    <row r="90" spans="1:3" x14ac:dyDescent="0.2">
      <c r="A90" t="s">
        <v>12</v>
      </c>
      <c r="B90" t="s">
        <v>7</v>
      </c>
      <c r="C90" s="10">
        <v>53653129.136</v>
      </c>
    </row>
    <row r="91" spans="1:3" x14ac:dyDescent="0.2">
      <c r="A91" t="s">
        <v>12</v>
      </c>
      <c r="B91" t="s">
        <v>7</v>
      </c>
      <c r="C91" s="10">
        <v>52423742.103</v>
      </c>
    </row>
    <row r="92" spans="1:3" x14ac:dyDescent="0.2">
      <c r="A92" t="s">
        <v>12</v>
      </c>
      <c r="B92" t="s">
        <v>3</v>
      </c>
      <c r="C92" s="10">
        <v>77594669.283000007</v>
      </c>
    </row>
    <row r="93" spans="1:3" x14ac:dyDescent="0.2">
      <c r="A93" t="s">
        <v>12</v>
      </c>
      <c r="B93" t="s">
        <v>3</v>
      </c>
      <c r="C93" s="10">
        <v>77327177.135000005</v>
      </c>
    </row>
    <row r="94" spans="1:3" x14ac:dyDescent="0.2">
      <c r="A94" t="s">
        <v>12</v>
      </c>
      <c r="B94" t="s">
        <v>3</v>
      </c>
      <c r="C94" s="10">
        <v>76186271.738999993</v>
      </c>
    </row>
    <row r="95" spans="1:3" x14ac:dyDescent="0.2">
      <c r="A95" t="s">
        <v>12</v>
      </c>
      <c r="B95" t="s">
        <v>3</v>
      </c>
      <c r="C95" s="10">
        <v>60602817.122000001</v>
      </c>
    </row>
    <row r="96" spans="1:3" x14ac:dyDescent="0.2">
      <c r="A96" t="s">
        <v>12</v>
      </c>
      <c r="B96" t="s">
        <v>3</v>
      </c>
      <c r="C96" s="10">
        <v>58866103.982000001</v>
      </c>
    </row>
    <row r="97" spans="1:3" x14ac:dyDescent="0.2">
      <c r="A97" t="s">
        <v>12</v>
      </c>
      <c r="B97" t="s">
        <v>3</v>
      </c>
      <c r="C97" s="10">
        <v>59148551.204999998</v>
      </c>
    </row>
    <row r="98" spans="1:3" x14ac:dyDescent="0.2">
      <c r="A98" t="s">
        <v>12</v>
      </c>
      <c r="B98" t="s">
        <v>3</v>
      </c>
      <c r="C98" s="10">
        <v>58457751.607000001</v>
      </c>
    </row>
    <row r="99" spans="1:3" x14ac:dyDescent="0.2">
      <c r="A99" t="s">
        <v>12</v>
      </c>
      <c r="B99" t="s">
        <v>3</v>
      </c>
      <c r="C99" s="10">
        <v>56574742.821999997</v>
      </c>
    </row>
    <row r="100" spans="1:3" x14ac:dyDescent="0.2">
      <c r="A100" t="s">
        <v>12</v>
      </c>
      <c r="B100" t="s">
        <v>8</v>
      </c>
      <c r="C100" s="10">
        <v>68541536.136000007</v>
      </c>
    </row>
    <row r="101" spans="1:3" x14ac:dyDescent="0.2">
      <c r="A101" t="s">
        <v>12</v>
      </c>
      <c r="B101" t="s">
        <v>8</v>
      </c>
      <c r="C101" s="10">
        <v>62281869.796999998</v>
      </c>
    </row>
    <row r="102" spans="1:3" x14ac:dyDescent="0.2">
      <c r="A102" t="s">
        <v>12</v>
      </c>
      <c r="B102" t="s">
        <v>8</v>
      </c>
      <c r="C102" s="10">
        <v>59344062.456</v>
      </c>
    </row>
    <row r="103" spans="1:3" x14ac:dyDescent="0.2">
      <c r="A103" t="s">
        <v>12</v>
      </c>
      <c r="B103" t="s">
        <v>8</v>
      </c>
      <c r="C103" s="10">
        <v>59150864.583999999</v>
      </c>
    </row>
    <row r="104" spans="1:3" x14ac:dyDescent="0.2">
      <c r="A104" t="s">
        <v>12</v>
      </c>
      <c r="B104" t="s">
        <v>8</v>
      </c>
      <c r="C104" s="10">
        <v>59046639.685000002</v>
      </c>
    </row>
    <row r="105" spans="1:3" x14ac:dyDescent="0.2">
      <c r="A105" t="s">
        <v>12</v>
      </c>
      <c r="B105" t="s">
        <v>8</v>
      </c>
      <c r="C105" s="10">
        <v>56907613.523000002</v>
      </c>
    </row>
    <row r="106" spans="1:3" x14ac:dyDescent="0.2">
      <c r="A106" t="s">
        <v>12</v>
      </c>
      <c r="B106" t="s">
        <v>8</v>
      </c>
      <c r="C106" s="10">
        <v>54627440.520999998</v>
      </c>
    </row>
    <row r="107" spans="1:3" x14ac:dyDescent="0.2">
      <c r="A107" t="s">
        <v>12</v>
      </c>
      <c r="B107" t="s">
        <v>8</v>
      </c>
      <c r="C107" s="10">
        <v>53142466.030000001</v>
      </c>
    </row>
    <row r="108" spans="1:3" x14ac:dyDescent="0.2">
      <c r="A108" t="s">
        <v>12</v>
      </c>
      <c r="B108" t="s">
        <v>4</v>
      </c>
      <c r="C108" s="10">
        <v>167596073.13999999</v>
      </c>
    </row>
    <row r="109" spans="1:3" x14ac:dyDescent="0.2">
      <c r="A109" t="s">
        <v>12</v>
      </c>
      <c r="B109" t="s">
        <v>4</v>
      </c>
      <c r="C109" s="10">
        <v>89684818.936000004</v>
      </c>
    </row>
    <row r="110" spans="1:3" x14ac:dyDescent="0.2">
      <c r="A110" t="s">
        <v>12</v>
      </c>
      <c r="B110" t="s">
        <v>4</v>
      </c>
      <c r="C110" s="10">
        <v>80949959.680999994</v>
      </c>
    </row>
    <row r="111" spans="1:3" x14ac:dyDescent="0.2">
      <c r="A111" t="s">
        <v>12</v>
      </c>
      <c r="B111" t="s">
        <v>4</v>
      </c>
      <c r="C111" s="10">
        <v>72547827.819999993</v>
      </c>
    </row>
    <row r="112" spans="1:3" x14ac:dyDescent="0.2">
      <c r="A112" t="s">
        <v>12</v>
      </c>
      <c r="B112" t="s">
        <v>4</v>
      </c>
      <c r="C112" s="10">
        <v>67016507.428999998</v>
      </c>
    </row>
    <row r="113" spans="1:3" x14ac:dyDescent="0.2">
      <c r="A113" t="s">
        <v>12</v>
      </c>
      <c r="B113" t="s">
        <v>4</v>
      </c>
      <c r="C113" s="10">
        <v>65971975.772</v>
      </c>
    </row>
    <row r="114" spans="1:3" x14ac:dyDescent="0.2">
      <c r="A114" t="s">
        <v>12</v>
      </c>
      <c r="B114" t="s">
        <v>4</v>
      </c>
      <c r="C114" s="10">
        <v>65091714.512000002</v>
      </c>
    </row>
    <row r="115" spans="1:3" x14ac:dyDescent="0.2">
      <c r="A115" t="s">
        <v>12</v>
      </c>
      <c r="B115" t="s">
        <v>4</v>
      </c>
      <c r="C115" s="10">
        <v>60351006.818999998</v>
      </c>
    </row>
    <row r="116" spans="1:3" x14ac:dyDescent="0.2">
      <c r="A116" t="s">
        <v>12</v>
      </c>
      <c r="B116" t="s">
        <v>9</v>
      </c>
      <c r="C116" s="10">
        <v>69836956.838</v>
      </c>
    </row>
    <row r="117" spans="1:3" x14ac:dyDescent="0.2">
      <c r="A117" t="s">
        <v>12</v>
      </c>
      <c r="B117" t="s">
        <v>9</v>
      </c>
      <c r="C117" s="10">
        <v>69964643.086999997</v>
      </c>
    </row>
    <row r="118" spans="1:3" x14ac:dyDescent="0.2">
      <c r="A118" t="s">
        <v>12</v>
      </c>
      <c r="B118" t="s">
        <v>9</v>
      </c>
      <c r="C118" s="10">
        <v>68538536.931999996</v>
      </c>
    </row>
    <row r="119" spans="1:3" x14ac:dyDescent="0.2">
      <c r="A119" t="s">
        <v>12</v>
      </c>
      <c r="B119" t="s">
        <v>9</v>
      </c>
      <c r="C119" s="10">
        <v>66570035.478</v>
      </c>
    </row>
    <row r="120" spans="1:3" x14ac:dyDescent="0.2">
      <c r="A120" t="s">
        <v>12</v>
      </c>
      <c r="B120" t="s">
        <v>9</v>
      </c>
      <c r="C120" s="10">
        <v>66623867.608000003</v>
      </c>
    </row>
    <row r="121" spans="1:3" x14ac:dyDescent="0.2">
      <c r="A121" t="s">
        <v>12</v>
      </c>
      <c r="B121" t="s">
        <v>9</v>
      </c>
      <c r="C121" s="10">
        <v>66105885.625</v>
      </c>
    </row>
    <row r="122" spans="1:3" x14ac:dyDescent="0.2">
      <c r="A122" t="s">
        <v>12</v>
      </c>
      <c r="B122" t="s">
        <v>9</v>
      </c>
      <c r="C122" s="10">
        <v>65062991.759999998</v>
      </c>
    </row>
    <row r="123" spans="1:3" x14ac:dyDescent="0.2">
      <c r="A123" t="s">
        <v>12</v>
      </c>
      <c r="B123" t="s">
        <v>5</v>
      </c>
      <c r="C123" s="10">
        <v>134724142.014</v>
      </c>
    </row>
    <row r="124" spans="1:3" x14ac:dyDescent="0.2">
      <c r="A124" t="s">
        <v>12</v>
      </c>
      <c r="B124" t="s">
        <v>5</v>
      </c>
      <c r="C124" s="10">
        <v>112105353.2</v>
      </c>
    </row>
    <row r="125" spans="1:3" x14ac:dyDescent="0.2">
      <c r="A125" t="s">
        <v>12</v>
      </c>
      <c r="B125" t="s">
        <v>5</v>
      </c>
      <c r="C125" s="10">
        <v>110433189.48100001</v>
      </c>
    </row>
    <row r="126" spans="1:3" x14ac:dyDescent="0.2">
      <c r="A126" t="s">
        <v>12</v>
      </c>
      <c r="B126" t="s">
        <v>5</v>
      </c>
      <c r="C126" s="10">
        <v>112210837.15000001</v>
      </c>
    </row>
    <row r="127" spans="1:3" x14ac:dyDescent="0.2">
      <c r="A127" t="s">
        <v>12</v>
      </c>
      <c r="B127" t="s">
        <v>5</v>
      </c>
      <c r="C127" s="10">
        <v>110433926.487</v>
      </c>
    </row>
    <row r="128" spans="1:3" x14ac:dyDescent="0.2">
      <c r="A128" t="s">
        <v>12</v>
      </c>
      <c r="B128" t="s">
        <v>5</v>
      </c>
      <c r="C128" s="10">
        <v>104547379.553</v>
      </c>
    </row>
    <row r="129" spans="1:3" x14ac:dyDescent="0.2">
      <c r="A129" t="s">
        <v>12</v>
      </c>
      <c r="B129" t="s">
        <v>5</v>
      </c>
      <c r="C129" s="10">
        <v>103390300.97400001</v>
      </c>
    </row>
    <row r="130" spans="1:3" x14ac:dyDescent="0.2">
      <c r="A130" t="s">
        <v>12</v>
      </c>
      <c r="B130" t="s">
        <v>5</v>
      </c>
      <c r="C130" s="10">
        <v>86903512.722000003</v>
      </c>
    </row>
    <row r="131" spans="1:3" x14ac:dyDescent="0.2">
      <c r="A131" t="s">
        <v>12</v>
      </c>
      <c r="B131" t="s">
        <v>10</v>
      </c>
      <c r="C131" s="10">
        <v>76523185.734999999</v>
      </c>
    </row>
    <row r="132" spans="1:3" x14ac:dyDescent="0.2">
      <c r="A132" t="s">
        <v>12</v>
      </c>
      <c r="B132" t="s">
        <v>10</v>
      </c>
      <c r="C132" s="10">
        <v>71897317.871000007</v>
      </c>
    </row>
    <row r="133" spans="1:3" x14ac:dyDescent="0.2">
      <c r="A133" t="s">
        <v>12</v>
      </c>
      <c r="B133" t="s">
        <v>10</v>
      </c>
      <c r="C133" s="10">
        <v>85692776.030000001</v>
      </c>
    </row>
    <row r="134" spans="1:3" x14ac:dyDescent="0.2">
      <c r="A134" t="s">
        <v>12</v>
      </c>
      <c r="B134" t="s">
        <v>10</v>
      </c>
      <c r="C134" s="10">
        <v>78341225.414000005</v>
      </c>
    </row>
    <row r="135" spans="1:3" x14ac:dyDescent="0.2">
      <c r="A135" t="s">
        <v>12</v>
      </c>
      <c r="B135" t="s">
        <v>10</v>
      </c>
      <c r="C135" s="10">
        <v>64761320.968999997</v>
      </c>
    </row>
    <row r="136" spans="1:3" x14ac:dyDescent="0.2">
      <c r="A136" t="s">
        <v>12</v>
      </c>
      <c r="B136" t="s">
        <v>10</v>
      </c>
      <c r="C136" s="10">
        <v>87547000.644999996</v>
      </c>
    </row>
    <row r="137" spans="1:3" x14ac:dyDescent="0.2">
      <c r="A137" t="s">
        <v>12</v>
      </c>
      <c r="B137" t="s">
        <v>6</v>
      </c>
      <c r="C137" s="10">
        <v>204717917.301</v>
      </c>
    </row>
    <row r="138" spans="1:3" x14ac:dyDescent="0.2">
      <c r="A138" t="s">
        <v>12</v>
      </c>
      <c r="B138" t="s">
        <v>6</v>
      </c>
      <c r="C138" s="10">
        <v>339138607.42699999</v>
      </c>
    </row>
    <row r="139" spans="1:3" x14ac:dyDescent="0.2">
      <c r="A139" t="s">
        <v>12</v>
      </c>
      <c r="B139" t="s">
        <v>6</v>
      </c>
      <c r="C139" s="10">
        <v>122585974.388</v>
      </c>
    </row>
    <row r="140" spans="1:3" x14ac:dyDescent="0.2">
      <c r="A140" t="s">
        <v>12</v>
      </c>
      <c r="B140" t="s">
        <v>6</v>
      </c>
      <c r="C140" s="10">
        <v>87584127.310000002</v>
      </c>
    </row>
    <row r="141" spans="1:3" x14ac:dyDescent="0.2">
      <c r="A141" t="s">
        <v>12</v>
      </c>
      <c r="B141" t="s">
        <v>6</v>
      </c>
      <c r="C141" s="10">
        <v>114380868.735</v>
      </c>
    </row>
    <row r="142" spans="1:3" x14ac:dyDescent="0.2">
      <c r="A142" t="s">
        <v>12</v>
      </c>
      <c r="B142" t="s">
        <v>6</v>
      </c>
      <c r="C142" s="10">
        <v>354883343.472</v>
      </c>
    </row>
    <row r="143" spans="1:3" x14ac:dyDescent="0.2">
      <c r="A143" t="s">
        <v>12</v>
      </c>
      <c r="B143" t="s">
        <v>6</v>
      </c>
      <c r="C143" s="10">
        <v>273243403.088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CE49-8D23-494F-A80A-21C1FFEB226F}">
  <sheetPr>
    <tabColor rgb="FF7030A0"/>
  </sheetPr>
  <dimension ref="A1:J143"/>
  <sheetViews>
    <sheetView tabSelected="1" zoomScaleNormal="100" workbookViewId="0">
      <selection activeCell="K25" sqref="K25"/>
    </sheetView>
  </sheetViews>
  <sheetFormatPr baseColWidth="10" defaultRowHeight="16" x14ac:dyDescent="0.2"/>
  <cols>
    <col min="3" max="3" width="18.33203125" customWidth="1"/>
    <col min="6" max="6" width="27.6640625" customWidth="1"/>
    <col min="8" max="8" width="17.1640625" customWidth="1"/>
  </cols>
  <sheetData>
    <row r="1" spans="1:10" ht="17" x14ac:dyDescent="0.2">
      <c r="A1" t="s">
        <v>0</v>
      </c>
      <c r="B1" t="s">
        <v>1</v>
      </c>
      <c r="C1" s="1" t="s">
        <v>13</v>
      </c>
      <c r="F1" t="s">
        <v>272</v>
      </c>
      <c r="H1" t="s">
        <v>248</v>
      </c>
    </row>
    <row r="2" spans="1:10" x14ac:dyDescent="0.2">
      <c r="A2" t="s">
        <v>11</v>
      </c>
      <c r="B2" t="s">
        <v>2</v>
      </c>
      <c r="C2" s="2">
        <v>48720523.567000002</v>
      </c>
      <c r="F2" t="s">
        <v>249</v>
      </c>
      <c r="G2" t="s">
        <v>250</v>
      </c>
      <c r="H2" t="s">
        <v>266</v>
      </c>
      <c r="J2" t="s">
        <v>263</v>
      </c>
    </row>
    <row r="3" spans="1:10" ht="17" x14ac:dyDescent="0.25">
      <c r="A3" t="s">
        <v>11</v>
      </c>
      <c r="B3" t="s">
        <v>2</v>
      </c>
      <c r="C3" s="2">
        <v>50589600.895000003</v>
      </c>
      <c r="F3" s="11" t="s">
        <v>253</v>
      </c>
      <c r="G3" s="13">
        <v>5.1270000000000002E-5</v>
      </c>
      <c r="H3" s="14">
        <f>G3*4</f>
        <v>2.0508000000000001E-4</v>
      </c>
      <c r="I3" t="s">
        <v>247</v>
      </c>
      <c r="J3" t="s">
        <v>264</v>
      </c>
    </row>
    <row r="4" spans="1:10" ht="17" x14ac:dyDescent="0.25">
      <c r="A4" t="s">
        <v>11</v>
      </c>
      <c r="B4" t="s">
        <v>2</v>
      </c>
      <c r="C4" s="2">
        <v>47890255.864</v>
      </c>
      <c r="F4" t="s">
        <v>256</v>
      </c>
      <c r="G4" s="12">
        <v>9.19E-4</v>
      </c>
      <c r="H4" s="14">
        <f t="shared" ref="H4:H6" si="0">G4*4</f>
        <v>3.676E-3</v>
      </c>
      <c r="I4" t="s">
        <v>267</v>
      </c>
      <c r="J4" t="s">
        <v>265</v>
      </c>
    </row>
    <row r="5" spans="1:10" ht="17" x14ac:dyDescent="0.25">
      <c r="A5" t="s">
        <v>11</v>
      </c>
      <c r="B5" t="s">
        <v>2</v>
      </c>
      <c r="C5" s="2">
        <v>48033460.178999998</v>
      </c>
      <c r="F5" t="s">
        <v>262</v>
      </c>
      <c r="G5" s="13">
        <v>2.0680000000000001E-8</v>
      </c>
      <c r="H5" s="14">
        <f t="shared" si="0"/>
        <v>8.2720000000000002E-8</v>
      </c>
      <c r="I5" t="s">
        <v>247</v>
      </c>
      <c r="J5" t="s">
        <v>268</v>
      </c>
    </row>
    <row r="6" spans="1:10" ht="17" x14ac:dyDescent="0.25">
      <c r="A6" t="s">
        <v>11</v>
      </c>
      <c r="B6" t="s">
        <v>2</v>
      </c>
      <c r="C6" s="2">
        <v>49393266.523000002</v>
      </c>
      <c r="F6" t="s">
        <v>259</v>
      </c>
      <c r="G6" s="12">
        <v>3.3040000000000001E-4</v>
      </c>
      <c r="H6" s="14">
        <f t="shared" si="0"/>
        <v>1.3216E-3</v>
      </c>
      <c r="I6" t="s">
        <v>267</v>
      </c>
      <c r="J6" t="s">
        <v>269</v>
      </c>
    </row>
    <row r="7" spans="1:10" ht="17" x14ac:dyDescent="0.25">
      <c r="A7" t="s">
        <v>11</v>
      </c>
      <c r="B7" t="s">
        <v>2</v>
      </c>
      <c r="C7" s="2">
        <v>50566088.364</v>
      </c>
      <c r="F7" t="s">
        <v>251</v>
      </c>
      <c r="G7" s="13">
        <v>3.3779999999999998E-13</v>
      </c>
      <c r="H7" s="14">
        <f>G7*10</f>
        <v>3.3779999999999999E-12</v>
      </c>
      <c r="I7" t="s">
        <v>247</v>
      </c>
    </row>
    <row r="8" spans="1:10" ht="17" x14ac:dyDescent="0.25">
      <c r="A8" t="s">
        <v>11</v>
      </c>
      <c r="B8" t="s">
        <v>2</v>
      </c>
      <c r="C8" s="2">
        <v>49364124.086999997</v>
      </c>
      <c r="F8" t="s">
        <v>252</v>
      </c>
      <c r="G8" s="13">
        <v>2.8070000000000002E-7</v>
      </c>
      <c r="H8" s="14">
        <f t="shared" ref="H8:H14" si="1">G8*10</f>
        <v>2.8070000000000004E-6</v>
      </c>
      <c r="I8" t="s">
        <v>247</v>
      </c>
    </row>
    <row r="9" spans="1:10" ht="17" x14ac:dyDescent="0.25">
      <c r="A9" t="s">
        <v>11</v>
      </c>
      <c r="B9" t="s">
        <v>2</v>
      </c>
      <c r="C9" s="2">
        <v>49276461.346000001</v>
      </c>
      <c r="F9" s="11" t="s">
        <v>254</v>
      </c>
      <c r="G9" s="13">
        <v>2.0510000000000001E-9</v>
      </c>
      <c r="H9" s="14">
        <f t="shared" si="1"/>
        <v>2.051E-8</v>
      </c>
      <c r="I9" t="s">
        <v>247</v>
      </c>
    </row>
    <row r="10" spans="1:10" ht="17" x14ac:dyDescent="0.25">
      <c r="A10" t="s">
        <v>11</v>
      </c>
      <c r="B10" t="s">
        <v>7</v>
      </c>
      <c r="C10" s="2">
        <v>57498139.391999997</v>
      </c>
      <c r="F10" t="s">
        <v>255</v>
      </c>
      <c r="G10" s="13">
        <v>2.5829999999999998E-5</v>
      </c>
      <c r="H10" s="14">
        <f t="shared" si="1"/>
        <v>2.5829999999999999E-4</v>
      </c>
      <c r="I10" t="s">
        <v>247</v>
      </c>
    </row>
    <row r="11" spans="1:10" ht="17" x14ac:dyDescent="0.25">
      <c r="A11" t="s">
        <v>11</v>
      </c>
      <c r="B11" t="s">
        <v>7</v>
      </c>
      <c r="C11" s="2">
        <v>55818462.309</v>
      </c>
      <c r="F11" t="s">
        <v>261</v>
      </c>
      <c r="G11" s="13">
        <v>5.4300000000000001E-13</v>
      </c>
      <c r="H11" s="14">
        <f t="shared" si="1"/>
        <v>5.4300000000000001E-12</v>
      </c>
      <c r="I11" t="s">
        <v>247</v>
      </c>
    </row>
    <row r="12" spans="1:10" ht="17" x14ac:dyDescent="0.25">
      <c r="A12" t="s">
        <v>11</v>
      </c>
      <c r="B12" t="s">
        <v>7</v>
      </c>
      <c r="C12" s="2">
        <v>56008108.222999997</v>
      </c>
      <c r="F12" t="s">
        <v>260</v>
      </c>
      <c r="G12" s="13">
        <v>2.4240000000000001E-10</v>
      </c>
      <c r="H12" s="14">
        <f t="shared" si="1"/>
        <v>2.4239999999999999E-9</v>
      </c>
      <c r="I12" t="s">
        <v>247</v>
      </c>
    </row>
    <row r="13" spans="1:10" ht="17" x14ac:dyDescent="0.25">
      <c r="A13" t="s">
        <v>11</v>
      </c>
      <c r="B13" t="s">
        <v>7</v>
      </c>
      <c r="C13" s="2">
        <v>56372322.141999997</v>
      </c>
      <c r="F13" t="s">
        <v>257</v>
      </c>
      <c r="G13" s="13">
        <v>1.1619999999999999E-9</v>
      </c>
      <c r="H13" s="14">
        <f t="shared" si="1"/>
        <v>1.1619999999999999E-8</v>
      </c>
      <c r="I13" t="s">
        <v>247</v>
      </c>
    </row>
    <row r="14" spans="1:10" ht="17" x14ac:dyDescent="0.25">
      <c r="A14" t="s">
        <v>11</v>
      </c>
      <c r="B14" t="s">
        <v>7</v>
      </c>
      <c r="C14" s="2">
        <v>56305848.316</v>
      </c>
      <c r="F14" t="s">
        <v>258</v>
      </c>
      <c r="G14" s="13">
        <v>4.583E-5</v>
      </c>
      <c r="H14" s="14">
        <f t="shared" si="1"/>
        <v>4.5830000000000003E-4</v>
      </c>
      <c r="I14" t="s">
        <v>247</v>
      </c>
    </row>
    <row r="15" spans="1:10" x14ac:dyDescent="0.2">
      <c r="A15" t="s">
        <v>11</v>
      </c>
      <c r="B15" t="s">
        <v>7</v>
      </c>
      <c r="C15" s="2">
        <v>54686943.5</v>
      </c>
    </row>
    <row r="16" spans="1:10" x14ac:dyDescent="0.2">
      <c r="A16" t="s">
        <v>11</v>
      </c>
      <c r="B16" t="s">
        <v>7</v>
      </c>
      <c r="C16" s="2">
        <v>53224488.630000003</v>
      </c>
    </row>
    <row r="17" spans="1:10" x14ac:dyDescent="0.2">
      <c r="A17" t="s">
        <v>11</v>
      </c>
      <c r="B17" t="s">
        <v>7</v>
      </c>
      <c r="C17" s="2">
        <v>58090599.902000003</v>
      </c>
      <c r="F17" s="5" t="s">
        <v>19</v>
      </c>
    </row>
    <row r="18" spans="1:10" x14ac:dyDescent="0.2">
      <c r="A18" t="s">
        <v>11</v>
      </c>
      <c r="B18" t="s">
        <v>3</v>
      </c>
      <c r="C18" s="2">
        <v>60725692.361000001</v>
      </c>
    </row>
    <row r="19" spans="1:10" x14ac:dyDescent="0.2">
      <c r="A19" t="s">
        <v>11</v>
      </c>
      <c r="B19" t="s">
        <v>3</v>
      </c>
      <c r="C19" s="2">
        <v>61457784.754000001</v>
      </c>
      <c r="F19" t="s">
        <v>273</v>
      </c>
      <c r="H19" t="s">
        <v>248</v>
      </c>
    </row>
    <row r="20" spans="1:10" x14ac:dyDescent="0.2">
      <c r="A20" t="s">
        <v>11</v>
      </c>
      <c r="B20" t="s">
        <v>3</v>
      </c>
      <c r="C20" s="2">
        <v>83510379.125</v>
      </c>
      <c r="F20" t="s">
        <v>249</v>
      </c>
      <c r="G20" t="s">
        <v>250</v>
      </c>
      <c r="H20" t="s">
        <v>266</v>
      </c>
      <c r="J20" t="s">
        <v>277</v>
      </c>
    </row>
    <row r="21" spans="1:10" ht="17" x14ac:dyDescent="0.25">
      <c r="A21" t="s">
        <v>11</v>
      </c>
      <c r="B21" t="s">
        <v>3</v>
      </c>
      <c r="C21" s="2">
        <v>62349531.020999998</v>
      </c>
      <c r="F21" s="12" t="s">
        <v>271</v>
      </c>
      <c r="G21" s="13">
        <v>4.7849999999999998E-5</v>
      </c>
      <c r="H21" s="2">
        <f>G21*4</f>
        <v>1.9139999999999999E-4</v>
      </c>
      <c r="I21" t="s">
        <v>247</v>
      </c>
    </row>
    <row r="22" spans="1:10" ht="17" x14ac:dyDescent="0.25">
      <c r="A22" t="s">
        <v>11</v>
      </c>
      <c r="B22" t="s">
        <v>3</v>
      </c>
      <c r="C22" s="2">
        <v>68630550.054000005</v>
      </c>
      <c r="F22" s="12" t="s">
        <v>274</v>
      </c>
      <c r="G22" s="12">
        <v>1.0139999999999999E-3</v>
      </c>
      <c r="H22" s="2">
        <f t="shared" ref="H22:H24" si="2">G22*4</f>
        <v>4.0559999999999997E-3</v>
      </c>
      <c r="I22" t="s">
        <v>267</v>
      </c>
    </row>
    <row r="23" spans="1:10" ht="17" x14ac:dyDescent="0.25">
      <c r="A23" t="s">
        <v>11</v>
      </c>
      <c r="B23" t="s">
        <v>3</v>
      </c>
      <c r="C23" s="2">
        <v>67950508.693000004</v>
      </c>
      <c r="F23" s="12" t="s">
        <v>275</v>
      </c>
      <c r="G23" s="13">
        <v>2.5889999999999999E-8</v>
      </c>
      <c r="H23" s="2">
        <f t="shared" si="2"/>
        <v>1.0356E-7</v>
      </c>
      <c r="I23" t="s">
        <v>247</v>
      </c>
    </row>
    <row r="24" spans="1:10" ht="17" x14ac:dyDescent="0.25">
      <c r="A24" t="s">
        <v>11</v>
      </c>
      <c r="B24" t="s">
        <v>3</v>
      </c>
      <c r="C24" s="2">
        <v>74418860.261000007</v>
      </c>
      <c r="F24" s="12" t="s">
        <v>276</v>
      </c>
      <c r="G24" s="12">
        <v>5.9220000000000002E-3</v>
      </c>
      <c r="H24" s="2">
        <f t="shared" si="2"/>
        <v>2.3688000000000001E-2</v>
      </c>
      <c r="I24" t="s">
        <v>278</v>
      </c>
    </row>
    <row r="25" spans="1:10" x14ac:dyDescent="0.2">
      <c r="A25" t="s">
        <v>11</v>
      </c>
      <c r="B25" t="s">
        <v>3</v>
      </c>
      <c r="C25" s="2">
        <v>78070099.417999998</v>
      </c>
    </row>
    <row r="26" spans="1:10" x14ac:dyDescent="0.2">
      <c r="A26" t="s">
        <v>11</v>
      </c>
      <c r="B26" t="s">
        <v>3</v>
      </c>
      <c r="C26" s="2">
        <v>57949760.147</v>
      </c>
    </row>
    <row r="27" spans="1:10" x14ac:dyDescent="0.2">
      <c r="A27" t="s">
        <v>11</v>
      </c>
      <c r="B27" t="s">
        <v>8</v>
      </c>
      <c r="C27" s="2">
        <v>58018189.085000001</v>
      </c>
    </row>
    <row r="28" spans="1:10" x14ac:dyDescent="0.2">
      <c r="A28" t="s">
        <v>11</v>
      </c>
      <c r="B28" t="s">
        <v>8</v>
      </c>
      <c r="C28" s="2">
        <v>61061234.707999997</v>
      </c>
    </row>
    <row r="29" spans="1:10" x14ac:dyDescent="0.2">
      <c r="A29" t="s">
        <v>11</v>
      </c>
      <c r="B29" t="s">
        <v>8</v>
      </c>
      <c r="C29" s="2">
        <v>61590711.931999996</v>
      </c>
    </row>
    <row r="30" spans="1:10" x14ac:dyDescent="0.2">
      <c r="A30" t="s">
        <v>11</v>
      </c>
      <c r="B30" t="s">
        <v>8</v>
      </c>
      <c r="C30" s="2">
        <v>63747426.233000003</v>
      </c>
    </row>
    <row r="31" spans="1:10" x14ac:dyDescent="0.2">
      <c r="A31" t="s">
        <v>11</v>
      </c>
      <c r="B31" t="s">
        <v>8</v>
      </c>
      <c r="C31" s="2">
        <v>62333296.421999998</v>
      </c>
    </row>
    <row r="32" spans="1:10" x14ac:dyDescent="0.2">
      <c r="A32" t="s">
        <v>11</v>
      </c>
      <c r="B32" t="s">
        <v>8</v>
      </c>
      <c r="C32" s="2">
        <v>57330429.636</v>
      </c>
    </row>
    <row r="33" spans="1:3" x14ac:dyDescent="0.2">
      <c r="A33" t="s">
        <v>11</v>
      </c>
      <c r="B33" t="s">
        <v>8</v>
      </c>
      <c r="C33" s="2">
        <v>57535112.515000001</v>
      </c>
    </row>
    <row r="34" spans="1:3" x14ac:dyDescent="0.2">
      <c r="A34" t="s">
        <v>11</v>
      </c>
      <c r="B34" t="s">
        <v>8</v>
      </c>
      <c r="C34" s="2">
        <v>60023520.354000002</v>
      </c>
    </row>
    <row r="35" spans="1:3" x14ac:dyDescent="0.2">
      <c r="A35" t="s">
        <v>11</v>
      </c>
      <c r="B35" t="s">
        <v>4</v>
      </c>
      <c r="C35" s="2">
        <v>67519022.525999993</v>
      </c>
    </row>
    <row r="36" spans="1:3" x14ac:dyDescent="0.2">
      <c r="A36" t="s">
        <v>11</v>
      </c>
      <c r="B36" t="s">
        <v>4</v>
      </c>
      <c r="C36" s="2">
        <v>83382242.483999997</v>
      </c>
    </row>
    <row r="37" spans="1:3" x14ac:dyDescent="0.2">
      <c r="A37" t="s">
        <v>11</v>
      </c>
      <c r="B37" t="s">
        <v>4</v>
      </c>
      <c r="C37" s="2">
        <v>65730504.022</v>
      </c>
    </row>
    <row r="38" spans="1:3" x14ac:dyDescent="0.2">
      <c r="A38" t="s">
        <v>11</v>
      </c>
      <c r="B38" t="s">
        <v>4</v>
      </c>
      <c r="C38" s="2">
        <v>94211856.375</v>
      </c>
    </row>
    <row r="39" spans="1:3" x14ac:dyDescent="0.2">
      <c r="A39" t="s">
        <v>11</v>
      </c>
      <c r="B39" t="s">
        <v>4</v>
      </c>
      <c r="C39" s="2">
        <v>90261976.340000004</v>
      </c>
    </row>
    <row r="40" spans="1:3" x14ac:dyDescent="0.2">
      <c r="A40" t="s">
        <v>11</v>
      </c>
      <c r="B40" t="s">
        <v>4</v>
      </c>
      <c r="C40" s="2">
        <v>75971741.643999994</v>
      </c>
    </row>
    <row r="41" spans="1:3" x14ac:dyDescent="0.2">
      <c r="A41" t="s">
        <v>11</v>
      </c>
      <c r="B41" t="s">
        <v>4</v>
      </c>
      <c r="C41" s="2">
        <v>86940373.246999994</v>
      </c>
    </row>
    <row r="42" spans="1:3" x14ac:dyDescent="0.2">
      <c r="A42" t="s">
        <v>11</v>
      </c>
      <c r="B42" t="s">
        <v>4</v>
      </c>
      <c r="C42" s="2">
        <v>104431946.02500001</v>
      </c>
    </row>
    <row r="43" spans="1:3" x14ac:dyDescent="0.2">
      <c r="A43" t="s">
        <v>11</v>
      </c>
      <c r="B43" t="s">
        <v>4</v>
      </c>
      <c r="C43" s="2">
        <v>98137374.275000006</v>
      </c>
    </row>
    <row r="44" spans="1:3" x14ac:dyDescent="0.2">
      <c r="A44" t="s">
        <v>11</v>
      </c>
      <c r="B44" t="s">
        <v>9</v>
      </c>
      <c r="C44" s="2">
        <v>70222195.893000007</v>
      </c>
    </row>
    <row r="45" spans="1:3" x14ac:dyDescent="0.2">
      <c r="A45" t="s">
        <v>11</v>
      </c>
      <c r="B45" t="s">
        <v>9</v>
      </c>
      <c r="C45" s="2">
        <v>64873089.941</v>
      </c>
    </row>
    <row r="46" spans="1:3" x14ac:dyDescent="0.2">
      <c r="A46" t="s">
        <v>11</v>
      </c>
      <c r="B46" t="s">
        <v>9</v>
      </c>
      <c r="C46" s="2">
        <v>63360262.773999996</v>
      </c>
    </row>
    <row r="47" spans="1:3" x14ac:dyDescent="0.2">
      <c r="A47" t="s">
        <v>11</v>
      </c>
      <c r="B47" t="s">
        <v>9</v>
      </c>
      <c r="C47" s="2">
        <v>67318004.203999996</v>
      </c>
    </row>
    <row r="48" spans="1:3" x14ac:dyDescent="0.2">
      <c r="A48" t="s">
        <v>11</v>
      </c>
      <c r="B48" t="s">
        <v>9</v>
      </c>
      <c r="C48" s="2">
        <v>65469532.328000002</v>
      </c>
    </row>
    <row r="49" spans="1:3" x14ac:dyDescent="0.2">
      <c r="A49" t="s">
        <v>11</v>
      </c>
      <c r="B49" t="s">
        <v>9</v>
      </c>
      <c r="C49" s="2">
        <v>58027985.119999997</v>
      </c>
    </row>
    <row r="50" spans="1:3" x14ac:dyDescent="0.2">
      <c r="A50" t="s">
        <v>11</v>
      </c>
      <c r="B50" t="s">
        <v>9</v>
      </c>
      <c r="C50" s="2">
        <v>62426486.706</v>
      </c>
    </row>
    <row r="51" spans="1:3" x14ac:dyDescent="0.2">
      <c r="A51" t="s">
        <v>11</v>
      </c>
      <c r="B51" t="s">
        <v>9</v>
      </c>
      <c r="C51" s="2">
        <v>68907551.623999998</v>
      </c>
    </row>
    <row r="52" spans="1:3" x14ac:dyDescent="0.2">
      <c r="A52" t="s">
        <v>11</v>
      </c>
      <c r="B52" t="s">
        <v>5</v>
      </c>
      <c r="C52" s="2">
        <v>114784522.698</v>
      </c>
    </row>
    <row r="53" spans="1:3" x14ac:dyDescent="0.2">
      <c r="A53" t="s">
        <v>11</v>
      </c>
      <c r="B53" t="s">
        <v>5</v>
      </c>
      <c r="C53" s="2">
        <v>117737305.586</v>
      </c>
    </row>
    <row r="54" spans="1:3" x14ac:dyDescent="0.2">
      <c r="A54" t="s">
        <v>11</v>
      </c>
      <c r="B54" t="s">
        <v>5</v>
      </c>
      <c r="C54" s="2">
        <v>96040920.431999996</v>
      </c>
    </row>
    <row r="55" spans="1:3" x14ac:dyDescent="0.2">
      <c r="A55" t="s">
        <v>11</v>
      </c>
      <c r="B55" t="s">
        <v>5</v>
      </c>
      <c r="C55" s="2">
        <v>101008963.69499999</v>
      </c>
    </row>
    <row r="56" spans="1:3" x14ac:dyDescent="0.2">
      <c r="A56" t="s">
        <v>11</v>
      </c>
      <c r="B56" t="s">
        <v>5</v>
      </c>
      <c r="C56" s="2">
        <v>96325486.546000004</v>
      </c>
    </row>
    <row r="57" spans="1:3" x14ac:dyDescent="0.2">
      <c r="A57" t="s">
        <v>11</v>
      </c>
      <c r="B57" t="s">
        <v>5</v>
      </c>
      <c r="C57" s="2">
        <v>136386612.05899999</v>
      </c>
    </row>
    <row r="58" spans="1:3" x14ac:dyDescent="0.2">
      <c r="A58" t="s">
        <v>11</v>
      </c>
      <c r="B58" t="s">
        <v>5</v>
      </c>
      <c r="C58" s="2">
        <v>94914396.884000003</v>
      </c>
    </row>
    <row r="59" spans="1:3" x14ac:dyDescent="0.2">
      <c r="A59" t="s">
        <v>11</v>
      </c>
      <c r="B59" t="s">
        <v>5</v>
      </c>
      <c r="C59" s="2">
        <v>75312602.584999993</v>
      </c>
    </row>
    <row r="60" spans="1:3" x14ac:dyDescent="0.2">
      <c r="A60" t="s">
        <v>11</v>
      </c>
      <c r="B60" t="s">
        <v>10</v>
      </c>
      <c r="C60" s="2">
        <v>79137846.756999999</v>
      </c>
    </row>
    <row r="61" spans="1:3" x14ac:dyDescent="0.2">
      <c r="A61" t="s">
        <v>11</v>
      </c>
      <c r="B61" t="s">
        <v>10</v>
      </c>
      <c r="C61" s="2">
        <v>79824521.169</v>
      </c>
    </row>
    <row r="62" spans="1:3" x14ac:dyDescent="0.2">
      <c r="A62" t="s">
        <v>11</v>
      </c>
      <c r="B62" t="s">
        <v>10</v>
      </c>
      <c r="C62" s="2">
        <v>73254063.593999997</v>
      </c>
    </row>
    <row r="63" spans="1:3" x14ac:dyDescent="0.2">
      <c r="A63" t="s">
        <v>11</v>
      </c>
      <c r="B63" t="s">
        <v>10</v>
      </c>
      <c r="C63" s="2">
        <v>76678059.307999998</v>
      </c>
    </row>
    <row r="64" spans="1:3" x14ac:dyDescent="0.2">
      <c r="A64" t="s">
        <v>11</v>
      </c>
      <c r="B64" t="s">
        <v>10</v>
      </c>
      <c r="C64" s="2">
        <v>78540370.513999999</v>
      </c>
    </row>
    <row r="65" spans="1:3" x14ac:dyDescent="0.2">
      <c r="A65" t="s">
        <v>11</v>
      </c>
      <c r="B65" t="s">
        <v>10</v>
      </c>
      <c r="C65" s="2">
        <v>68997210.422000006</v>
      </c>
    </row>
    <row r="66" spans="1:3" x14ac:dyDescent="0.2">
      <c r="A66" t="s">
        <v>11</v>
      </c>
      <c r="B66" t="s">
        <v>10</v>
      </c>
      <c r="C66" s="2">
        <v>74797885.947999999</v>
      </c>
    </row>
    <row r="67" spans="1:3" x14ac:dyDescent="0.2">
      <c r="A67" t="s">
        <v>11</v>
      </c>
      <c r="B67" t="s">
        <v>10</v>
      </c>
      <c r="C67" s="2">
        <v>64111036.215999998</v>
      </c>
    </row>
    <row r="68" spans="1:3" x14ac:dyDescent="0.2">
      <c r="A68" t="s">
        <v>11</v>
      </c>
      <c r="B68" t="s">
        <v>6</v>
      </c>
      <c r="C68" s="2">
        <v>114319226.392</v>
      </c>
    </row>
    <row r="69" spans="1:3" x14ac:dyDescent="0.2">
      <c r="A69" t="s">
        <v>11</v>
      </c>
      <c r="B69" t="s">
        <v>6</v>
      </c>
      <c r="C69" s="2">
        <v>161804241.683</v>
      </c>
    </row>
    <row r="70" spans="1:3" x14ac:dyDescent="0.2">
      <c r="A70" t="s">
        <v>11</v>
      </c>
      <c r="B70" t="s">
        <v>6</v>
      </c>
      <c r="C70" s="2">
        <v>386296770.898</v>
      </c>
    </row>
    <row r="71" spans="1:3" x14ac:dyDescent="0.2">
      <c r="A71" t="s">
        <v>11</v>
      </c>
      <c r="B71" t="s">
        <v>6</v>
      </c>
      <c r="C71" s="2">
        <v>116562856.191</v>
      </c>
    </row>
    <row r="72" spans="1:3" x14ac:dyDescent="0.2">
      <c r="A72" t="s">
        <v>11</v>
      </c>
      <c r="B72" t="s">
        <v>6</v>
      </c>
      <c r="C72" s="2">
        <v>96502511.237000003</v>
      </c>
    </row>
    <row r="73" spans="1:3" x14ac:dyDescent="0.2">
      <c r="A73" t="s">
        <v>11</v>
      </c>
      <c r="B73" t="s">
        <v>6</v>
      </c>
      <c r="C73" s="2">
        <v>98900717.759000003</v>
      </c>
    </row>
    <row r="74" spans="1:3" x14ac:dyDescent="0.2">
      <c r="A74" t="s">
        <v>11</v>
      </c>
      <c r="B74" t="s">
        <v>6</v>
      </c>
      <c r="C74" s="2">
        <v>121563604.08499999</v>
      </c>
    </row>
    <row r="75" spans="1:3" x14ac:dyDescent="0.2">
      <c r="A75" t="s">
        <v>11</v>
      </c>
      <c r="B75" t="s">
        <v>6</v>
      </c>
      <c r="C75" s="2">
        <v>279124074.44800001</v>
      </c>
    </row>
    <row r="76" spans="1:3" x14ac:dyDescent="0.2">
      <c r="A76" t="s">
        <v>11</v>
      </c>
      <c r="B76" t="s">
        <v>6</v>
      </c>
      <c r="C76" s="2">
        <v>264097990.67699999</v>
      </c>
    </row>
    <row r="77" spans="1:3" x14ac:dyDescent="0.2">
      <c r="A77" t="s">
        <v>12</v>
      </c>
      <c r="B77" t="s">
        <v>2</v>
      </c>
      <c r="C77" s="2">
        <v>50084127.538000003</v>
      </c>
    </row>
    <row r="78" spans="1:3" x14ac:dyDescent="0.2">
      <c r="A78" t="s">
        <v>12</v>
      </c>
      <c r="B78" t="s">
        <v>2</v>
      </c>
      <c r="C78" s="2">
        <v>49272888.914999999</v>
      </c>
    </row>
    <row r="79" spans="1:3" x14ac:dyDescent="0.2">
      <c r="A79" t="s">
        <v>12</v>
      </c>
      <c r="B79" t="s">
        <v>2</v>
      </c>
      <c r="C79" s="2">
        <v>48943304.031999998</v>
      </c>
    </row>
    <row r="80" spans="1:3" x14ac:dyDescent="0.2">
      <c r="A80" t="s">
        <v>12</v>
      </c>
      <c r="B80" t="s">
        <v>2</v>
      </c>
      <c r="C80" s="2">
        <v>48743432.163000003</v>
      </c>
    </row>
    <row r="81" spans="1:3" x14ac:dyDescent="0.2">
      <c r="A81" t="s">
        <v>12</v>
      </c>
      <c r="B81" t="s">
        <v>2</v>
      </c>
      <c r="C81" s="2">
        <v>48365082.064000003</v>
      </c>
    </row>
    <row r="82" spans="1:3" x14ac:dyDescent="0.2">
      <c r="A82" t="s">
        <v>12</v>
      </c>
      <c r="B82" t="s">
        <v>2</v>
      </c>
      <c r="C82" s="2">
        <v>48087732.464000002</v>
      </c>
    </row>
    <row r="83" spans="1:3" x14ac:dyDescent="0.2">
      <c r="A83" t="s">
        <v>12</v>
      </c>
      <c r="B83" t="s">
        <v>2</v>
      </c>
      <c r="C83" s="2">
        <v>46621439.023000002</v>
      </c>
    </row>
    <row r="84" spans="1:3" x14ac:dyDescent="0.2">
      <c r="A84" t="s">
        <v>12</v>
      </c>
      <c r="B84" t="s">
        <v>7</v>
      </c>
      <c r="C84" s="2">
        <v>56146092.079999998</v>
      </c>
    </row>
    <row r="85" spans="1:3" x14ac:dyDescent="0.2">
      <c r="A85" t="s">
        <v>12</v>
      </c>
      <c r="B85" t="s">
        <v>7</v>
      </c>
      <c r="C85" s="2">
        <v>55756226.266999997</v>
      </c>
    </row>
    <row r="86" spans="1:3" x14ac:dyDescent="0.2">
      <c r="A86" t="s">
        <v>12</v>
      </c>
      <c r="B86" t="s">
        <v>7</v>
      </c>
      <c r="C86" s="2">
        <v>55210534.914999999</v>
      </c>
    </row>
    <row r="87" spans="1:3" x14ac:dyDescent="0.2">
      <c r="A87" t="s">
        <v>12</v>
      </c>
      <c r="B87" t="s">
        <v>7</v>
      </c>
      <c r="C87" s="2">
        <v>54294528.875</v>
      </c>
    </row>
    <row r="88" spans="1:3" x14ac:dyDescent="0.2">
      <c r="A88" t="s">
        <v>12</v>
      </c>
      <c r="B88" t="s">
        <v>7</v>
      </c>
      <c r="C88" s="2">
        <v>54187386.662</v>
      </c>
    </row>
    <row r="89" spans="1:3" x14ac:dyDescent="0.2">
      <c r="A89" t="s">
        <v>12</v>
      </c>
      <c r="B89" t="s">
        <v>7</v>
      </c>
      <c r="C89" s="2">
        <v>53876697.788000003</v>
      </c>
    </row>
    <row r="90" spans="1:3" x14ac:dyDescent="0.2">
      <c r="A90" t="s">
        <v>12</v>
      </c>
      <c r="B90" t="s">
        <v>7</v>
      </c>
      <c r="C90" s="2">
        <v>53653129.136</v>
      </c>
    </row>
    <row r="91" spans="1:3" x14ac:dyDescent="0.2">
      <c r="A91" t="s">
        <v>12</v>
      </c>
      <c r="B91" t="s">
        <v>7</v>
      </c>
      <c r="C91" s="2">
        <v>52423742.103</v>
      </c>
    </row>
    <row r="92" spans="1:3" x14ac:dyDescent="0.2">
      <c r="A92" t="s">
        <v>12</v>
      </c>
      <c r="B92" t="s">
        <v>3</v>
      </c>
      <c r="C92" s="2">
        <v>77594669.283000007</v>
      </c>
    </row>
    <row r="93" spans="1:3" x14ac:dyDescent="0.2">
      <c r="A93" t="s">
        <v>12</v>
      </c>
      <c r="B93" t="s">
        <v>3</v>
      </c>
      <c r="C93" s="2">
        <v>77327177.135000005</v>
      </c>
    </row>
    <row r="94" spans="1:3" x14ac:dyDescent="0.2">
      <c r="A94" t="s">
        <v>12</v>
      </c>
      <c r="B94" t="s">
        <v>3</v>
      </c>
      <c r="C94" s="2">
        <v>76186271.738999993</v>
      </c>
    </row>
    <row r="95" spans="1:3" x14ac:dyDescent="0.2">
      <c r="A95" t="s">
        <v>12</v>
      </c>
      <c r="B95" t="s">
        <v>3</v>
      </c>
      <c r="C95" s="2">
        <v>60602817.122000001</v>
      </c>
    </row>
    <row r="96" spans="1:3" x14ac:dyDescent="0.2">
      <c r="A96" t="s">
        <v>12</v>
      </c>
      <c r="B96" t="s">
        <v>3</v>
      </c>
      <c r="C96" s="2">
        <v>58866103.982000001</v>
      </c>
    </row>
    <row r="97" spans="1:3" x14ac:dyDescent="0.2">
      <c r="A97" t="s">
        <v>12</v>
      </c>
      <c r="B97" t="s">
        <v>3</v>
      </c>
      <c r="C97" s="2">
        <v>59148551.204999998</v>
      </c>
    </row>
    <row r="98" spans="1:3" x14ac:dyDescent="0.2">
      <c r="A98" t="s">
        <v>12</v>
      </c>
      <c r="B98" t="s">
        <v>3</v>
      </c>
      <c r="C98" s="2">
        <v>58457751.607000001</v>
      </c>
    </row>
    <row r="99" spans="1:3" x14ac:dyDescent="0.2">
      <c r="A99" t="s">
        <v>12</v>
      </c>
      <c r="B99" t="s">
        <v>3</v>
      </c>
      <c r="C99" s="2">
        <v>56574742.821999997</v>
      </c>
    </row>
    <row r="100" spans="1:3" x14ac:dyDescent="0.2">
      <c r="A100" t="s">
        <v>12</v>
      </c>
      <c r="B100" t="s">
        <v>8</v>
      </c>
      <c r="C100" s="2">
        <v>68541536.136000007</v>
      </c>
    </row>
    <row r="101" spans="1:3" x14ac:dyDescent="0.2">
      <c r="A101" t="s">
        <v>12</v>
      </c>
      <c r="B101" t="s">
        <v>8</v>
      </c>
      <c r="C101" s="2">
        <v>62281869.796999998</v>
      </c>
    </row>
    <row r="102" spans="1:3" x14ac:dyDescent="0.2">
      <c r="A102" t="s">
        <v>12</v>
      </c>
      <c r="B102" t="s">
        <v>8</v>
      </c>
      <c r="C102" s="2">
        <v>59344062.456</v>
      </c>
    </row>
    <row r="103" spans="1:3" x14ac:dyDescent="0.2">
      <c r="A103" t="s">
        <v>12</v>
      </c>
      <c r="B103" t="s">
        <v>8</v>
      </c>
      <c r="C103" s="2">
        <v>59150864.583999999</v>
      </c>
    </row>
    <row r="104" spans="1:3" x14ac:dyDescent="0.2">
      <c r="A104" t="s">
        <v>12</v>
      </c>
      <c r="B104" t="s">
        <v>8</v>
      </c>
      <c r="C104" s="2">
        <v>59046639.685000002</v>
      </c>
    </row>
    <row r="105" spans="1:3" x14ac:dyDescent="0.2">
      <c r="A105" t="s">
        <v>12</v>
      </c>
      <c r="B105" t="s">
        <v>8</v>
      </c>
      <c r="C105" s="2">
        <v>56907613.523000002</v>
      </c>
    </row>
    <row r="106" spans="1:3" x14ac:dyDescent="0.2">
      <c r="A106" t="s">
        <v>12</v>
      </c>
      <c r="B106" t="s">
        <v>8</v>
      </c>
      <c r="C106" s="2">
        <v>54627440.520999998</v>
      </c>
    </row>
    <row r="107" spans="1:3" x14ac:dyDescent="0.2">
      <c r="A107" t="s">
        <v>12</v>
      </c>
      <c r="B107" t="s">
        <v>8</v>
      </c>
      <c r="C107" s="2">
        <v>53142466.030000001</v>
      </c>
    </row>
    <row r="108" spans="1:3" x14ac:dyDescent="0.2">
      <c r="A108" t="s">
        <v>12</v>
      </c>
      <c r="B108" t="s">
        <v>4</v>
      </c>
      <c r="C108" s="2">
        <v>167596073.13999999</v>
      </c>
    </row>
    <row r="109" spans="1:3" x14ac:dyDescent="0.2">
      <c r="A109" t="s">
        <v>12</v>
      </c>
      <c r="B109" t="s">
        <v>4</v>
      </c>
      <c r="C109" s="2">
        <v>89684818.936000004</v>
      </c>
    </row>
    <row r="110" spans="1:3" x14ac:dyDescent="0.2">
      <c r="A110" t="s">
        <v>12</v>
      </c>
      <c r="B110" t="s">
        <v>4</v>
      </c>
      <c r="C110" s="2">
        <v>80949959.680999994</v>
      </c>
    </row>
    <row r="111" spans="1:3" x14ac:dyDescent="0.2">
      <c r="A111" t="s">
        <v>12</v>
      </c>
      <c r="B111" t="s">
        <v>4</v>
      </c>
      <c r="C111" s="2">
        <v>72547827.819999993</v>
      </c>
    </row>
    <row r="112" spans="1:3" x14ac:dyDescent="0.2">
      <c r="A112" t="s">
        <v>12</v>
      </c>
      <c r="B112" t="s">
        <v>4</v>
      </c>
      <c r="C112" s="2">
        <v>67016507.428999998</v>
      </c>
    </row>
    <row r="113" spans="1:3" x14ac:dyDescent="0.2">
      <c r="A113" t="s">
        <v>12</v>
      </c>
      <c r="B113" t="s">
        <v>4</v>
      </c>
      <c r="C113" s="2">
        <v>65971975.772</v>
      </c>
    </row>
    <row r="114" spans="1:3" x14ac:dyDescent="0.2">
      <c r="A114" t="s">
        <v>12</v>
      </c>
      <c r="B114" t="s">
        <v>4</v>
      </c>
      <c r="C114" s="2">
        <v>65091714.512000002</v>
      </c>
    </row>
    <row r="115" spans="1:3" x14ac:dyDescent="0.2">
      <c r="A115" t="s">
        <v>12</v>
      </c>
      <c r="B115" t="s">
        <v>4</v>
      </c>
      <c r="C115" s="2">
        <v>60351006.818999998</v>
      </c>
    </row>
    <row r="116" spans="1:3" x14ac:dyDescent="0.2">
      <c r="A116" t="s">
        <v>12</v>
      </c>
      <c r="B116" t="s">
        <v>9</v>
      </c>
      <c r="C116" s="2">
        <v>69836956.838</v>
      </c>
    </row>
    <row r="117" spans="1:3" x14ac:dyDescent="0.2">
      <c r="A117" t="s">
        <v>12</v>
      </c>
      <c r="B117" t="s">
        <v>9</v>
      </c>
      <c r="C117" s="2">
        <v>69964643.086999997</v>
      </c>
    </row>
    <row r="118" spans="1:3" x14ac:dyDescent="0.2">
      <c r="A118" t="s">
        <v>12</v>
      </c>
      <c r="B118" t="s">
        <v>9</v>
      </c>
      <c r="C118" s="2">
        <v>68538536.931999996</v>
      </c>
    </row>
    <row r="119" spans="1:3" x14ac:dyDescent="0.2">
      <c r="A119" t="s">
        <v>12</v>
      </c>
      <c r="B119" t="s">
        <v>9</v>
      </c>
      <c r="C119" s="2">
        <v>66570035.478</v>
      </c>
    </row>
    <row r="120" spans="1:3" x14ac:dyDescent="0.2">
      <c r="A120" t="s">
        <v>12</v>
      </c>
      <c r="B120" t="s">
        <v>9</v>
      </c>
      <c r="C120" s="2">
        <v>66623867.608000003</v>
      </c>
    </row>
    <row r="121" spans="1:3" x14ac:dyDescent="0.2">
      <c r="A121" t="s">
        <v>12</v>
      </c>
      <c r="B121" t="s">
        <v>9</v>
      </c>
      <c r="C121" s="2">
        <v>66105885.625</v>
      </c>
    </row>
    <row r="122" spans="1:3" x14ac:dyDescent="0.2">
      <c r="A122" t="s">
        <v>12</v>
      </c>
      <c r="B122" t="s">
        <v>9</v>
      </c>
      <c r="C122" s="2">
        <v>65062991.759999998</v>
      </c>
    </row>
    <row r="123" spans="1:3" x14ac:dyDescent="0.2">
      <c r="A123" t="s">
        <v>12</v>
      </c>
      <c r="B123" t="s">
        <v>5</v>
      </c>
      <c r="C123" s="2">
        <v>134724142.014</v>
      </c>
    </row>
    <row r="124" spans="1:3" x14ac:dyDescent="0.2">
      <c r="A124" t="s">
        <v>12</v>
      </c>
      <c r="B124" t="s">
        <v>5</v>
      </c>
      <c r="C124" s="2">
        <v>112105353.2</v>
      </c>
    </row>
    <row r="125" spans="1:3" x14ac:dyDescent="0.2">
      <c r="A125" t="s">
        <v>12</v>
      </c>
      <c r="B125" t="s">
        <v>5</v>
      </c>
      <c r="C125" s="2">
        <v>110433189.48100001</v>
      </c>
    </row>
    <row r="126" spans="1:3" x14ac:dyDescent="0.2">
      <c r="A126" t="s">
        <v>12</v>
      </c>
      <c r="B126" t="s">
        <v>5</v>
      </c>
      <c r="C126" s="2">
        <v>112210837.15000001</v>
      </c>
    </row>
    <row r="127" spans="1:3" x14ac:dyDescent="0.2">
      <c r="A127" t="s">
        <v>12</v>
      </c>
      <c r="B127" t="s">
        <v>5</v>
      </c>
      <c r="C127" s="2">
        <v>110433926.487</v>
      </c>
    </row>
    <row r="128" spans="1:3" x14ac:dyDescent="0.2">
      <c r="A128" t="s">
        <v>12</v>
      </c>
      <c r="B128" t="s">
        <v>5</v>
      </c>
      <c r="C128" s="2">
        <v>104547379.553</v>
      </c>
    </row>
    <row r="129" spans="1:3" x14ac:dyDescent="0.2">
      <c r="A129" t="s">
        <v>12</v>
      </c>
      <c r="B129" t="s">
        <v>5</v>
      </c>
      <c r="C129" s="2">
        <v>103390300.97400001</v>
      </c>
    </row>
    <row r="130" spans="1:3" x14ac:dyDescent="0.2">
      <c r="A130" t="s">
        <v>12</v>
      </c>
      <c r="B130" t="s">
        <v>5</v>
      </c>
      <c r="C130" s="2">
        <v>86903512.722000003</v>
      </c>
    </row>
    <row r="131" spans="1:3" x14ac:dyDescent="0.2">
      <c r="A131" t="s">
        <v>12</v>
      </c>
      <c r="B131" t="s">
        <v>10</v>
      </c>
      <c r="C131" s="2">
        <v>76523185.734999999</v>
      </c>
    </row>
    <row r="132" spans="1:3" x14ac:dyDescent="0.2">
      <c r="A132" t="s">
        <v>12</v>
      </c>
      <c r="B132" t="s">
        <v>10</v>
      </c>
      <c r="C132" s="2">
        <v>71897317.871000007</v>
      </c>
    </row>
    <row r="133" spans="1:3" x14ac:dyDescent="0.2">
      <c r="A133" t="s">
        <v>12</v>
      </c>
      <c r="B133" t="s">
        <v>10</v>
      </c>
      <c r="C133" s="2">
        <v>85692776.030000001</v>
      </c>
    </row>
    <row r="134" spans="1:3" x14ac:dyDescent="0.2">
      <c r="A134" t="s">
        <v>12</v>
      </c>
      <c r="B134" t="s">
        <v>10</v>
      </c>
      <c r="C134" s="2">
        <v>78341225.414000005</v>
      </c>
    </row>
    <row r="135" spans="1:3" x14ac:dyDescent="0.2">
      <c r="A135" t="s">
        <v>12</v>
      </c>
      <c r="B135" t="s">
        <v>10</v>
      </c>
      <c r="C135" s="2">
        <v>64761320.968999997</v>
      </c>
    </row>
    <row r="136" spans="1:3" x14ac:dyDescent="0.2">
      <c r="A136" t="s">
        <v>12</v>
      </c>
      <c r="B136" t="s">
        <v>10</v>
      </c>
      <c r="C136" s="2">
        <v>87547000.644999996</v>
      </c>
    </row>
    <row r="137" spans="1:3" x14ac:dyDescent="0.2">
      <c r="A137" t="s">
        <v>12</v>
      </c>
      <c r="B137" t="s">
        <v>6</v>
      </c>
      <c r="C137" s="2">
        <v>204717917.301</v>
      </c>
    </row>
    <row r="138" spans="1:3" x14ac:dyDescent="0.2">
      <c r="A138" t="s">
        <v>12</v>
      </c>
      <c r="B138" t="s">
        <v>6</v>
      </c>
      <c r="C138" s="2">
        <v>339138607.42699999</v>
      </c>
    </row>
    <row r="139" spans="1:3" x14ac:dyDescent="0.2">
      <c r="A139" t="s">
        <v>12</v>
      </c>
      <c r="B139" t="s">
        <v>6</v>
      </c>
      <c r="C139" s="2">
        <v>122585974.388</v>
      </c>
    </row>
    <row r="140" spans="1:3" x14ac:dyDescent="0.2">
      <c r="A140" t="s">
        <v>12</v>
      </c>
      <c r="B140" t="s">
        <v>6</v>
      </c>
      <c r="C140" s="2">
        <v>87584127.310000002</v>
      </c>
    </row>
    <row r="141" spans="1:3" x14ac:dyDescent="0.2">
      <c r="A141" t="s">
        <v>12</v>
      </c>
      <c r="B141" t="s">
        <v>6</v>
      </c>
      <c r="C141" s="2">
        <v>114380868.735</v>
      </c>
    </row>
    <row r="142" spans="1:3" x14ac:dyDescent="0.2">
      <c r="A142" t="s">
        <v>12</v>
      </c>
      <c r="B142" t="s">
        <v>6</v>
      </c>
      <c r="C142" s="2">
        <v>354883343.472</v>
      </c>
    </row>
    <row r="143" spans="1:3" x14ac:dyDescent="0.2">
      <c r="A143" t="s">
        <v>12</v>
      </c>
      <c r="B143" t="s">
        <v>6</v>
      </c>
      <c r="C143" s="2">
        <v>273243403.088</v>
      </c>
    </row>
  </sheetData>
  <conditionalFormatting sqref="H3:H14">
    <cfRule type="cellIs" dxfId="1" priority="1" operator="greaterThanOrEqual">
      <formula>0.001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CC25-F614-4041-AB2C-513155D5FC95}">
  <dimension ref="A1:H260"/>
  <sheetViews>
    <sheetView workbookViewId="0">
      <selection activeCell="E4" sqref="E4"/>
    </sheetView>
  </sheetViews>
  <sheetFormatPr baseColWidth="10" defaultRowHeight="16" x14ac:dyDescent="0.2"/>
  <cols>
    <col min="1" max="1" width="32.33203125" customWidth="1"/>
    <col min="5" max="5" width="14.1640625" customWidth="1"/>
    <col min="6" max="6" width="15.33203125" customWidth="1"/>
  </cols>
  <sheetData>
    <row r="1" spans="1:6" x14ac:dyDescent="0.2">
      <c r="A1" s="15" t="s">
        <v>270</v>
      </c>
    </row>
    <row r="2" spans="1:6" ht="18" x14ac:dyDescent="0.2">
      <c r="A2" s="3" t="s">
        <v>14</v>
      </c>
    </row>
    <row r="4" spans="1:6" x14ac:dyDescent="0.2">
      <c r="A4" s="4" t="s">
        <v>30</v>
      </c>
    </row>
    <row r="5" spans="1:6" x14ac:dyDescent="0.2">
      <c r="A5" s="4" t="s">
        <v>31</v>
      </c>
    </row>
    <row r="7" spans="1:6" x14ac:dyDescent="0.2">
      <c r="A7" s="5" t="s">
        <v>15</v>
      </c>
    </row>
    <row r="8" spans="1:6" x14ac:dyDescent="0.2">
      <c r="A8" s="5" t="s">
        <v>16</v>
      </c>
    </row>
    <row r="9" spans="1:6" x14ac:dyDescent="0.2">
      <c r="A9" s="5" t="s">
        <v>17</v>
      </c>
    </row>
    <row r="10" spans="1:6" x14ac:dyDescent="0.2">
      <c r="A10" s="5" t="s">
        <v>18</v>
      </c>
    </row>
    <row r="11" spans="1:6" x14ac:dyDescent="0.2">
      <c r="A11" s="5" t="s">
        <v>19</v>
      </c>
    </row>
    <row r="13" spans="1:6" x14ac:dyDescent="0.2">
      <c r="A13" s="4" t="s">
        <v>20</v>
      </c>
    </row>
    <row r="14" spans="1:6" x14ac:dyDescent="0.2">
      <c r="A14" s="4" t="s">
        <v>21</v>
      </c>
    </row>
    <row r="15" spans="1:6" x14ac:dyDescent="0.2">
      <c r="F15" t="s">
        <v>246</v>
      </c>
    </row>
    <row r="16" spans="1:6" x14ac:dyDescent="0.2">
      <c r="A16" s="5"/>
      <c r="B16" t="s">
        <v>234</v>
      </c>
      <c r="C16" t="s">
        <v>235</v>
      </c>
      <c r="D16" t="s">
        <v>236</v>
      </c>
      <c r="E16" t="s">
        <v>239</v>
      </c>
      <c r="F16" t="s">
        <v>244</v>
      </c>
    </row>
    <row r="17" spans="1:8" ht="20" x14ac:dyDescent="0.2">
      <c r="A17" s="5" t="s">
        <v>5</v>
      </c>
      <c r="B17">
        <v>106703716</v>
      </c>
      <c r="C17">
        <v>15761741</v>
      </c>
      <c r="D17">
        <v>16</v>
      </c>
      <c r="E17" s="7" t="s">
        <v>242</v>
      </c>
      <c r="F17" s="7" t="s">
        <v>245</v>
      </c>
      <c r="G17" t="s">
        <v>247</v>
      </c>
      <c r="H17" t="s">
        <v>247</v>
      </c>
    </row>
    <row r="18" spans="1:8" ht="20" x14ac:dyDescent="0.2">
      <c r="A18" s="5" t="s">
        <v>9</v>
      </c>
      <c r="B18">
        <v>66220535</v>
      </c>
      <c r="C18">
        <v>3280016</v>
      </c>
      <c r="D18">
        <v>15</v>
      </c>
      <c r="E18" s="7" t="s">
        <v>241</v>
      </c>
      <c r="G18" t="s">
        <v>247</v>
      </c>
    </row>
    <row r="19" spans="1:8" ht="20" x14ac:dyDescent="0.2">
      <c r="A19" s="5" t="s">
        <v>3</v>
      </c>
      <c r="B19">
        <v>67048309</v>
      </c>
      <c r="C19">
        <v>8947727</v>
      </c>
      <c r="D19">
        <v>17</v>
      </c>
      <c r="E19" s="7" t="s">
        <v>238</v>
      </c>
      <c r="F19" s="8">
        <v>5.1270000000000002E-5</v>
      </c>
      <c r="G19" t="s">
        <v>247</v>
      </c>
      <c r="H19" t="s">
        <v>247</v>
      </c>
    </row>
    <row r="20" spans="1:8" ht="20" x14ac:dyDescent="0.2">
      <c r="A20" s="5" t="s">
        <v>7</v>
      </c>
      <c r="B20">
        <v>55222078</v>
      </c>
      <c r="C20">
        <v>1556262</v>
      </c>
      <c r="D20">
        <v>16</v>
      </c>
      <c r="E20" s="7" t="s">
        <v>237</v>
      </c>
      <c r="G20" t="s">
        <v>247</v>
      </c>
    </row>
    <row r="21" spans="1:8" x14ac:dyDescent="0.2">
      <c r="A21" s="5" t="s">
        <v>2</v>
      </c>
      <c r="B21">
        <v>48930119</v>
      </c>
      <c r="C21">
        <v>1059834</v>
      </c>
      <c r="D21">
        <v>15</v>
      </c>
    </row>
    <row r="22" spans="1:8" ht="20" x14ac:dyDescent="0.2">
      <c r="A22" s="5" t="s">
        <v>6</v>
      </c>
      <c r="B22">
        <v>195981640</v>
      </c>
      <c r="C22">
        <v>104038578</v>
      </c>
      <c r="D22">
        <v>16</v>
      </c>
      <c r="E22" s="8">
        <v>4.583E-5</v>
      </c>
      <c r="F22" s="8">
        <v>3.3040000000000001E-4</v>
      </c>
      <c r="G22" t="s">
        <v>247</v>
      </c>
      <c r="H22" t="s">
        <v>247</v>
      </c>
    </row>
    <row r="23" spans="1:8" ht="20" x14ac:dyDescent="0.2">
      <c r="A23" s="5" t="s">
        <v>10</v>
      </c>
      <c r="B23">
        <v>75721701</v>
      </c>
      <c r="C23">
        <v>6826711</v>
      </c>
      <c r="D23">
        <v>14</v>
      </c>
      <c r="E23" s="7" t="s">
        <v>243</v>
      </c>
      <c r="G23" t="s">
        <v>247</v>
      </c>
    </row>
    <row r="24" spans="1:8" ht="20" x14ac:dyDescent="0.2">
      <c r="A24" s="5" t="s">
        <v>4</v>
      </c>
      <c r="B24">
        <v>84458642</v>
      </c>
      <c r="C24">
        <v>25158806</v>
      </c>
      <c r="D24">
        <v>17</v>
      </c>
      <c r="E24" s="8">
        <v>2.5829999999999998E-5</v>
      </c>
      <c r="F24" s="8">
        <v>9.19E-4</v>
      </c>
      <c r="G24" t="s">
        <v>247</v>
      </c>
      <c r="H24" t="s">
        <v>247</v>
      </c>
    </row>
    <row r="25" spans="1:8" ht="20" x14ac:dyDescent="0.2">
      <c r="A25" s="5" t="s">
        <v>8</v>
      </c>
      <c r="B25">
        <v>59667651</v>
      </c>
      <c r="C25">
        <v>3689491</v>
      </c>
      <c r="D25">
        <v>16</v>
      </c>
      <c r="E25" s="7" t="s">
        <v>240</v>
      </c>
      <c r="G25" t="s">
        <v>247</v>
      </c>
      <c r="H25" t="s">
        <v>247</v>
      </c>
    </row>
    <row r="27" spans="1:8" x14ac:dyDescent="0.2">
      <c r="A27" s="4" t="s">
        <v>22</v>
      </c>
    </row>
    <row r="28" spans="1:8" x14ac:dyDescent="0.2">
      <c r="A28" s="4" t="s">
        <v>32</v>
      </c>
    </row>
    <row r="29" spans="1:8" x14ac:dyDescent="0.2">
      <c r="A29" s="4" t="s">
        <v>23</v>
      </c>
    </row>
    <row r="30" spans="1:8" x14ac:dyDescent="0.2">
      <c r="A30" s="4" t="s">
        <v>24</v>
      </c>
    </row>
    <row r="31" spans="1:8" x14ac:dyDescent="0.2">
      <c r="A31" s="4" t="s">
        <v>25</v>
      </c>
    </row>
    <row r="32" spans="1:8" x14ac:dyDescent="0.2">
      <c r="A32" s="4" t="s">
        <v>26</v>
      </c>
    </row>
    <row r="33" spans="1:1" x14ac:dyDescent="0.2">
      <c r="A33" s="4" t="s">
        <v>27</v>
      </c>
    </row>
    <row r="34" spans="1:1" x14ac:dyDescent="0.2">
      <c r="A34" s="4" t="s">
        <v>28</v>
      </c>
    </row>
    <row r="35" spans="1:1" x14ac:dyDescent="0.2">
      <c r="A35" s="4" t="s">
        <v>29</v>
      </c>
    </row>
    <row r="37" spans="1:1" x14ac:dyDescent="0.2">
      <c r="A37" s="5" t="s">
        <v>33</v>
      </c>
    </row>
    <row r="38" spans="1:1" x14ac:dyDescent="0.2">
      <c r="A38" s="5" t="s">
        <v>33</v>
      </c>
    </row>
    <row r="39" spans="1:1" x14ac:dyDescent="0.2">
      <c r="A39" s="5" t="s">
        <v>33</v>
      </c>
    </row>
    <row r="41" spans="1:1" x14ac:dyDescent="0.2">
      <c r="A41" s="5" t="s">
        <v>34</v>
      </c>
    </row>
    <row r="43" spans="1:1" x14ac:dyDescent="0.2">
      <c r="A43" s="5" t="s">
        <v>35</v>
      </c>
    </row>
    <row r="46" spans="1:1" x14ac:dyDescent="0.2">
      <c r="A46" s="5" t="s">
        <v>36</v>
      </c>
    </row>
    <row r="48" spans="1:1" x14ac:dyDescent="0.2">
      <c r="A48" s="5" t="s">
        <v>37</v>
      </c>
    </row>
    <row r="49" spans="1:1" x14ac:dyDescent="0.2">
      <c r="A49" s="5" t="s">
        <v>38</v>
      </c>
    </row>
    <row r="50" spans="1:1" x14ac:dyDescent="0.2">
      <c r="A50" s="5" t="s">
        <v>39</v>
      </c>
    </row>
    <row r="51" spans="1:1" x14ac:dyDescent="0.2">
      <c r="A51" s="5" t="s">
        <v>40</v>
      </c>
    </row>
    <row r="52" spans="1:1" x14ac:dyDescent="0.2">
      <c r="A52" s="5" t="s">
        <v>41</v>
      </c>
    </row>
    <row r="53" spans="1:1" x14ac:dyDescent="0.2">
      <c r="A53" s="5" t="s">
        <v>42</v>
      </c>
    </row>
    <row r="54" spans="1:1" x14ac:dyDescent="0.2">
      <c r="A54" s="5" t="s">
        <v>43</v>
      </c>
    </row>
    <row r="55" spans="1:1" x14ac:dyDescent="0.2">
      <c r="A55" s="5" t="s">
        <v>44</v>
      </c>
    </row>
    <row r="56" spans="1:1" x14ac:dyDescent="0.2">
      <c r="A56" s="5" t="s">
        <v>45</v>
      </c>
    </row>
    <row r="57" spans="1:1" x14ac:dyDescent="0.2">
      <c r="A57" s="5" t="s">
        <v>46</v>
      </c>
    </row>
    <row r="58" spans="1:1" x14ac:dyDescent="0.2">
      <c r="A58" s="5" t="s">
        <v>47</v>
      </c>
    </row>
    <row r="59" spans="1:1" x14ac:dyDescent="0.2">
      <c r="A59" s="5" t="s">
        <v>48</v>
      </c>
    </row>
    <row r="60" spans="1:1" x14ac:dyDescent="0.2">
      <c r="A60" s="5" t="s">
        <v>49</v>
      </c>
    </row>
    <row r="61" spans="1:1" x14ac:dyDescent="0.2">
      <c r="A61" s="5" t="s">
        <v>50</v>
      </c>
    </row>
    <row r="62" spans="1:1" x14ac:dyDescent="0.2">
      <c r="A62" s="5" t="s">
        <v>51</v>
      </c>
    </row>
    <row r="63" spans="1:1" x14ac:dyDescent="0.2">
      <c r="A63" s="5" t="s">
        <v>52</v>
      </c>
    </row>
    <row r="64" spans="1:1" x14ac:dyDescent="0.2">
      <c r="A64" s="5" t="s">
        <v>53</v>
      </c>
    </row>
    <row r="65" spans="1:1" x14ac:dyDescent="0.2">
      <c r="A65" s="5" t="s">
        <v>54</v>
      </c>
    </row>
    <row r="66" spans="1:1" x14ac:dyDescent="0.2">
      <c r="A66" s="5" t="s">
        <v>55</v>
      </c>
    </row>
    <row r="67" spans="1:1" x14ac:dyDescent="0.2">
      <c r="A67" s="5" t="s">
        <v>56</v>
      </c>
    </row>
    <row r="68" spans="1:1" x14ac:dyDescent="0.2">
      <c r="A68" s="5" t="s">
        <v>57</v>
      </c>
    </row>
    <row r="69" spans="1:1" x14ac:dyDescent="0.2">
      <c r="A69" s="5" t="s">
        <v>58</v>
      </c>
    </row>
    <row r="70" spans="1:1" x14ac:dyDescent="0.2">
      <c r="A70" s="5" t="s">
        <v>59</v>
      </c>
    </row>
    <row r="71" spans="1:1" x14ac:dyDescent="0.2">
      <c r="A71" s="5" t="s">
        <v>60</v>
      </c>
    </row>
    <row r="72" spans="1:1" x14ac:dyDescent="0.2">
      <c r="A72" s="5" t="s">
        <v>61</v>
      </c>
    </row>
    <row r="73" spans="1:1" x14ac:dyDescent="0.2">
      <c r="A73" s="5" t="s">
        <v>62</v>
      </c>
    </row>
    <row r="74" spans="1:1" x14ac:dyDescent="0.2">
      <c r="A74" s="5" t="s">
        <v>63</v>
      </c>
    </row>
    <row r="75" spans="1:1" x14ac:dyDescent="0.2">
      <c r="A75" s="5" t="s">
        <v>64</v>
      </c>
    </row>
    <row r="76" spans="1:1" x14ac:dyDescent="0.2">
      <c r="A76" s="5" t="s">
        <v>65</v>
      </c>
    </row>
    <row r="77" spans="1:1" x14ac:dyDescent="0.2">
      <c r="A77" s="5" t="s">
        <v>66</v>
      </c>
    </row>
    <row r="78" spans="1:1" x14ac:dyDescent="0.2">
      <c r="A78" s="5" t="s">
        <v>67</v>
      </c>
    </row>
    <row r="79" spans="1:1" x14ac:dyDescent="0.2">
      <c r="A79" s="5" t="s">
        <v>68</v>
      </c>
    </row>
    <row r="80" spans="1:1" x14ac:dyDescent="0.2">
      <c r="A80" s="5" t="s">
        <v>69</v>
      </c>
    </row>
    <row r="81" spans="1:7" x14ac:dyDescent="0.2">
      <c r="A81" s="5" t="s">
        <v>70</v>
      </c>
    </row>
    <row r="82" spans="1:7" x14ac:dyDescent="0.2">
      <c r="A82" s="5" t="s">
        <v>71</v>
      </c>
    </row>
    <row r="83" spans="1:7" x14ac:dyDescent="0.2">
      <c r="A83" s="5" t="s">
        <v>72</v>
      </c>
    </row>
    <row r="84" spans="1:7" x14ac:dyDescent="0.2">
      <c r="A84" s="5" t="s">
        <v>73</v>
      </c>
    </row>
    <row r="85" spans="1:7" x14ac:dyDescent="0.2">
      <c r="A85" s="5" t="s">
        <v>74</v>
      </c>
    </row>
    <row r="86" spans="1:7" x14ac:dyDescent="0.2">
      <c r="A86" s="5" t="s">
        <v>75</v>
      </c>
    </row>
    <row r="87" spans="1:7" x14ac:dyDescent="0.2">
      <c r="A87" s="6" t="s">
        <v>76</v>
      </c>
      <c r="G87" s="6" t="s">
        <v>97</v>
      </c>
    </row>
    <row r="88" spans="1:7" x14ac:dyDescent="0.2">
      <c r="A88" s="5" t="s">
        <v>77</v>
      </c>
      <c r="G88" s="6" t="s">
        <v>92</v>
      </c>
    </row>
    <row r="89" spans="1:7" x14ac:dyDescent="0.2">
      <c r="A89" s="5" t="s">
        <v>78</v>
      </c>
      <c r="G89" s="6" t="s">
        <v>91</v>
      </c>
    </row>
    <row r="90" spans="1:7" s="9" customFormat="1" x14ac:dyDescent="0.2">
      <c r="A90" s="6" t="s">
        <v>79</v>
      </c>
      <c r="G90" s="6" t="s">
        <v>105</v>
      </c>
    </row>
    <row r="91" spans="1:7" x14ac:dyDescent="0.2">
      <c r="A91" s="5" t="s">
        <v>80</v>
      </c>
      <c r="G91" s="6" t="s">
        <v>104</v>
      </c>
    </row>
    <row r="92" spans="1:7" x14ac:dyDescent="0.2">
      <c r="A92" s="5" t="s">
        <v>81</v>
      </c>
      <c r="G92" s="6" t="s">
        <v>111</v>
      </c>
    </row>
    <row r="93" spans="1:7" x14ac:dyDescent="0.2">
      <c r="A93" s="5" t="s">
        <v>82</v>
      </c>
      <c r="G93" s="6" t="s">
        <v>86</v>
      </c>
    </row>
    <row r="94" spans="1:7" x14ac:dyDescent="0.2">
      <c r="A94" s="5" t="s">
        <v>83</v>
      </c>
      <c r="G94" s="6" t="s">
        <v>79</v>
      </c>
    </row>
    <row r="95" spans="1:7" x14ac:dyDescent="0.2">
      <c r="A95" s="5" t="s">
        <v>84</v>
      </c>
      <c r="G95" s="6" t="s">
        <v>76</v>
      </c>
    </row>
    <row r="96" spans="1:7" x14ac:dyDescent="0.2">
      <c r="A96" s="5" t="s">
        <v>85</v>
      </c>
      <c r="G96" s="6" t="s">
        <v>103</v>
      </c>
    </row>
    <row r="97" spans="1:7" x14ac:dyDescent="0.2">
      <c r="A97" s="6" t="s">
        <v>86</v>
      </c>
      <c r="G97" s="6" t="s">
        <v>102</v>
      </c>
    </row>
    <row r="98" spans="1:7" x14ac:dyDescent="0.2">
      <c r="A98" s="5" t="s">
        <v>87</v>
      </c>
      <c r="G98" s="6" t="s">
        <v>106</v>
      </c>
    </row>
    <row r="99" spans="1:7" x14ac:dyDescent="0.2">
      <c r="A99" s="5" t="s">
        <v>88</v>
      </c>
    </row>
    <row r="100" spans="1:7" x14ac:dyDescent="0.2">
      <c r="A100" s="5" t="s">
        <v>89</v>
      </c>
    </row>
    <row r="101" spans="1:7" x14ac:dyDescent="0.2">
      <c r="A101" s="5" t="s">
        <v>90</v>
      </c>
    </row>
    <row r="102" spans="1:7" x14ac:dyDescent="0.2">
      <c r="A102" s="6" t="s">
        <v>91</v>
      </c>
    </row>
    <row r="103" spans="1:7" x14ac:dyDescent="0.2">
      <c r="A103" s="6" t="s">
        <v>92</v>
      </c>
    </row>
    <row r="104" spans="1:7" x14ac:dyDescent="0.2">
      <c r="A104" s="5" t="s">
        <v>93</v>
      </c>
    </row>
    <row r="105" spans="1:7" x14ac:dyDescent="0.2">
      <c r="A105" s="5" t="s">
        <v>94</v>
      </c>
    </row>
    <row r="106" spans="1:7" x14ac:dyDescent="0.2">
      <c r="A106" s="5" t="s">
        <v>95</v>
      </c>
    </row>
    <row r="107" spans="1:7" x14ac:dyDescent="0.2">
      <c r="A107" s="5" t="s">
        <v>96</v>
      </c>
    </row>
    <row r="108" spans="1:7" x14ac:dyDescent="0.2">
      <c r="A108" s="6" t="s">
        <v>97</v>
      </c>
    </row>
    <row r="109" spans="1:7" x14ac:dyDescent="0.2">
      <c r="A109" s="5" t="s">
        <v>98</v>
      </c>
    </row>
    <row r="110" spans="1:7" x14ac:dyDescent="0.2">
      <c r="A110" s="5" t="s">
        <v>99</v>
      </c>
    </row>
    <row r="111" spans="1:7" x14ac:dyDescent="0.2">
      <c r="A111" s="5" t="s">
        <v>100</v>
      </c>
    </row>
    <row r="112" spans="1:7" x14ac:dyDescent="0.2">
      <c r="A112" s="5" t="s">
        <v>101</v>
      </c>
    </row>
    <row r="113" spans="1:1" x14ac:dyDescent="0.2">
      <c r="A113" s="6" t="s">
        <v>102</v>
      </c>
    </row>
    <row r="114" spans="1:1" x14ac:dyDescent="0.2">
      <c r="A114" s="6" t="s">
        <v>103</v>
      </c>
    </row>
    <row r="115" spans="1:1" x14ac:dyDescent="0.2">
      <c r="A115" s="6" t="s">
        <v>104</v>
      </c>
    </row>
    <row r="116" spans="1:1" x14ac:dyDescent="0.2">
      <c r="A116" s="6" t="s">
        <v>105</v>
      </c>
    </row>
    <row r="117" spans="1:1" x14ac:dyDescent="0.2">
      <c r="A117" s="6" t="s">
        <v>106</v>
      </c>
    </row>
    <row r="118" spans="1:1" x14ac:dyDescent="0.2">
      <c r="A118" s="5" t="s">
        <v>107</v>
      </c>
    </row>
    <row r="119" spans="1:1" x14ac:dyDescent="0.2">
      <c r="A119" s="5" t="s">
        <v>108</v>
      </c>
    </row>
    <row r="120" spans="1:1" x14ac:dyDescent="0.2">
      <c r="A120" s="5" t="s">
        <v>109</v>
      </c>
    </row>
    <row r="121" spans="1:1" x14ac:dyDescent="0.2">
      <c r="A121" s="5" t="s">
        <v>110</v>
      </c>
    </row>
    <row r="122" spans="1:1" x14ac:dyDescent="0.2">
      <c r="A122" s="6" t="s">
        <v>111</v>
      </c>
    </row>
    <row r="123" spans="1:1" x14ac:dyDescent="0.2">
      <c r="A123" s="5" t="s">
        <v>18</v>
      </c>
    </row>
    <row r="124" spans="1:1" x14ac:dyDescent="0.2">
      <c r="A124" s="5" t="s">
        <v>19</v>
      </c>
    </row>
    <row r="125" spans="1:1" x14ac:dyDescent="0.2">
      <c r="A125" s="5" t="s">
        <v>112</v>
      </c>
    </row>
    <row r="128" spans="1:1" x14ac:dyDescent="0.2">
      <c r="A128" s="5" t="s">
        <v>113</v>
      </c>
    </row>
    <row r="130" spans="1:1" x14ac:dyDescent="0.2">
      <c r="A130" s="5" t="s">
        <v>35</v>
      </c>
    </row>
    <row r="133" spans="1:1" x14ac:dyDescent="0.2">
      <c r="A133" s="5" t="s">
        <v>36</v>
      </c>
    </row>
    <row r="135" spans="1:1" x14ac:dyDescent="0.2">
      <c r="A135" s="5" t="s">
        <v>114</v>
      </c>
    </row>
    <row r="136" spans="1:1" x14ac:dyDescent="0.2">
      <c r="A136" s="5" t="s">
        <v>115</v>
      </c>
    </row>
    <row r="137" spans="1:1" x14ac:dyDescent="0.2">
      <c r="A137" s="5" t="s">
        <v>116</v>
      </c>
    </row>
    <row r="139" spans="1:1" x14ac:dyDescent="0.2">
      <c r="A139" s="5" t="s">
        <v>37</v>
      </c>
    </row>
    <row r="140" spans="1:1" x14ac:dyDescent="0.2">
      <c r="A140" s="5" t="s">
        <v>117</v>
      </c>
    </row>
    <row r="141" spans="1:1" x14ac:dyDescent="0.2">
      <c r="A141" s="5" t="s">
        <v>118</v>
      </c>
    </row>
    <row r="142" spans="1:1" x14ac:dyDescent="0.2">
      <c r="A142" s="5" t="s">
        <v>119</v>
      </c>
    </row>
    <row r="143" spans="1:1" x14ac:dyDescent="0.2">
      <c r="A143" s="5" t="s">
        <v>120</v>
      </c>
    </row>
    <row r="144" spans="1:1" x14ac:dyDescent="0.2">
      <c r="A144" s="5" t="s">
        <v>121</v>
      </c>
    </row>
    <row r="145" spans="1:1" x14ac:dyDescent="0.2">
      <c r="A145" s="5" t="s">
        <v>122</v>
      </c>
    </row>
    <row r="146" spans="1:1" x14ac:dyDescent="0.2">
      <c r="A146" s="5" t="s">
        <v>123</v>
      </c>
    </row>
    <row r="147" spans="1:1" x14ac:dyDescent="0.2">
      <c r="A147" s="5" t="s">
        <v>124</v>
      </c>
    </row>
    <row r="148" spans="1:1" x14ac:dyDescent="0.2">
      <c r="A148" s="5" t="s">
        <v>125</v>
      </c>
    </row>
    <row r="149" spans="1:1" x14ac:dyDescent="0.2">
      <c r="A149" s="5" t="s">
        <v>126</v>
      </c>
    </row>
    <row r="150" spans="1:1" x14ac:dyDescent="0.2">
      <c r="A150" s="5" t="s">
        <v>127</v>
      </c>
    </row>
    <row r="151" spans="1:1" x14ac:dyDescent="0.2">
      <c r="A151" s="5" t="s">
        <v>128</v>
      </c>
    </row>
    <row r="152" spans="1:1" x14ac:dyDescent="0.2">
      <c r="A152" s="5" t="s">
        <v>129</v>
      </c>
    </row>
    <row r="153" spans="1:1" x14ac:dyDescent="0.2">
      <c r="A153" s="5" t="s">
        <v>130</v>
      </c>
    </row>
    <row r="154" spans="1:1" x14ac:dyDescent="0.2">
      <c r="A154" s="5" t="s">
        <v>131</v>
      </c>
    </row>
    <row r="155" spans="1:1" x14ac:dyDescent="0.2">
      <c r="A155" s="5" t="s">
        <v>132</v>
      </c>
    </row>
    <row r="156" spans="1:1" x14ac:dyDescent="0.2">
      <c r="A156" s="5" t="s">
        <v>133</v>
      </c>
    </row>
    <row r="157" spans="1:1" x14ac:dyDescent="0.2">
      <c r="A157" s="5" t="s">
        <v>134</v>
      </c>
    </row>
    <row r="158" spans="1:1" x14ac:dyDescent="0.2">
      <c r="A158" s="5" t="s">
        <v>135</v>
      </c>
    </row>
    <row r="159" spans="1:1" x14ac:dyDescent="0.2">
      <c r="A159" s="5" t="s">
        <v>136</v>
      </c>
    </row>
    <row r="160" spans="1:1" x14ac:dyDescent="0.2">
      <c r="A160" s="5" t="s">
        <v>137</v>
      </c>
    </row>
    <row r="161" spans="1:1" x14ac:dyDescent="0.2">
      <c r="A161" s="5" t="s">
        <v>138</v>
      </c>
    </row>
    <row r="162" spans="1:1" x14ac:dyDescent="0.2">
      <c r="A162" s="5" t="s">
        <v>139</v>
      </c>
    </row>
    <row r="163" spans="1:1" x14ac:dyDescent="0.2">
      <c r="A163" s="5" t="s">
        <v>140</v>
      </c>
    </row>
    <row r="164" spans="1:1" x14ac:dyDescent="0.2">
      <c r="A164" s="5" t="s">
        <v>141</v>
      </c>
    </row>
    <row r="165" spans="1:1" x14ac:dyDescent="0.2">
      <c r="A165" s="5" t="s">
        <v>142</v>
      </c>
    </row>
    <row r="166" spans="1:1" x14ac:dyDescent="0.2">
      <c r="A166" s="5" t="s">
        <v>143</v>
      </c>
    </row>
    <row r="167" spans="1:1" x14ac:dyDescent="0.2">
      <c r="A167" s="5" t="s">
        <v>144</v>
      </c>
    </row>
    <row r="168" spans="1:1" x14ac:dyDescent="0.2">
      <c r="A168" s="5" t="s">
        <v>145</v>
      </c>
    </row>
    <row r="169" spans="1:1" x14ac:dyDescent="0.2">
      <c r="A169" s="5" t="s">
        <v>146</v>
      </c>
    </row>
    <row r="170" spans="1:1" x14ac:dyDescent="0.2">
      <c r="A170" s="5" t="s">
        <v>147</v>
      </c>
    </row>
    <row r="171" spans="1:1" x14ac:dyDescent="0.2">
      <c r="A171" s="5" t="s">
        <v>148</v>
      </c>
    </row>
    <row r="172" spans="1:1" x14ac:dyDescent="0.2">
      <c r="A172" s="5" t="s">
        <v>149</v>
      </c>
    </row>
    <row r="173" spans="1:1" x14ac:dyDescent="0.2">
      <c r="A173" s="5" t="s">
        <v>150</v>
      </c>
    </row>
    <row r="174" spans="1:1" x14ac:dyDescent="0.2">
      <c r="A174" s="5" t="s">
        <v>151</v>
      </c>
    </row>
    <row r="175" spans="1:1" x14ac:dyDescent="0.2">
      <c r="A175" s="5" t="s">
        <v>152</v>
      </c>
    </row>
    <row r="176" spans="1:1" x14ac:dyDescent="0.2">
      <c r="A176" s="5" t="s">
        <v>153</v>
      </c>
    </row>
    <row r="177" spans="1:1" x14ac:dyDescent="0.2">
      <c r="A177" s="5" t="s">
        <v>154</v>
      </c>
    </row>
    <row r="178" spans="1:1" x14ac:dyDescent="0.2">
      <c r="A178" s="5" t="s">
        <v>155</v>
      </c>
    </row>
    <row r="179" spans="1:1" x14ac:dyDescent="0.2">
      <c r="A179" s="5" t="s">
        <v>156</v>
      </c>
    </row>
    <row r="180" spans="1:1" x14ac:dyDescent="0.2">
      <c r="A180" s="5" t="s">
        <v>157</v>
      </c>
    </row>
    <row r="181" spans="1:1" x14ac:dyDescent="0.2">
      <c r="A181" s="5" t="s">
        <v>158</v>
      </c>
    </row>
    <row r="182" spans="1:1" x14ac:dyDescent="0.2">
      <c r="A182" s="5" t="s">
        <v>159</v>
      </c>
    </row>
    <row r="183" spans="1:1" x14ac:dyDescent="0.2">
      <c r="A183" s="5" t="s">
        <v>160</v>
      </c>
    </row>
    <row r="184" spans="1:1" x14ac:dyDescent="0.2">
      <c r="A184" s="5" t="s">
        <v>161</v>
      </c>
    </row>
    <row r="185" spans="1:1" x14ac:dyDescent="0.2">
      <c r="A185" s="5" t="s">
        <v>162</v>
      </c>
    </row>
    <row r="186" spans="1:1" x14ac:dyDescent="0.2">
      <c r="A186" s="5" t="s">
        <v>163</v>
      </c>
    </row>
    <row r="187" spans="1:1" x14ac:dyDescent="0.2">
      <c r="A187" s="5" t="s">
        <v>164</v>
      </c>
    </row>
    <row r="188" spans="1:1" x14ac:dyDescent="0.2">
      <c r="A188" s="5" t="s">
        <v>165</v>
      </c>
    </row>
    <row r="189" spans="1:1" x14ac:dyDescent="0.2">
      <c r="A189" s="5" t="s">
        <v>166</v>
      </c>
    </row>
    <row r="190" spans="1:1" x14ac:dyDescent="0.2">
      <c r="A190" s="5" t="s">
        <v>167</v>
      </c>
    </row>
    <row r="191" spans="1:1" x14ac:dyDescent="0.2">
      <c r="A191" s="5" t="s">
        <v>168</v>
      </c>
    </row>
    <row r="192" spans="1:1" x14ac:dyDescent="0.2">
      <c r="A192" s="5" t="s">
        <v>169</v>
      </c>
    </row>
    <row r="193" spans="1:1" x14ac:dyDescent="0.2">
      <c r="A193" s="5" t="s">
        <v>170</v>
      </c>
    </row>
    <row r="194" spans="1:1" x14ac:dyDescent="0.2">
      <c r="A194" s="5" t="s">
        <v>171</v>
      </c>
    </row>
    <row r="195" spans="1:1" x14ac:dyDescent="0.2">
      <c r="A195" s="5" t="s">
        <v>172</v>
      </c>
    </row>
    <row r="196" spans="1:1" x14ac:dyDescent="0.2">
      <c r="A196" s="5" t="s">
        <v>173</v>
      </c>
    </row>
    <row r="197" spans="1:1" x14ac:dyDescent="0.2">
      <c r="A197" s="5" t="s">
        <v>174</v>
      </c>
    </row>
    <row r="198" spans="1:1" x14ac:dyDescent="0.2">
      <c r="A198" s="5" t="s">
        <v>175</v>
      </c>
    </row>
    <row r="199" spans="1:1" x14ac:dyDescent="0.2">
      <c r="A199" s="5" t="s">
        <v>176</v>
      </c>
    </row>
    <row r="200" spans="1:1" x14ac:dyDescent="0.2">
      <c r="A200" s="5" t="s">
        <v>177</v>
      </c>
    </row>
    <row r="201" spans="1:1" x14ac:dyDescent="0.2">
      <c r="A201" s="5" t="s">
        <v>178</v>
      </c>
    </row>
    <row r="202" spans="1:1" x14ac:dyDescent="0.2">
      <c r="A202" s="5" t="s">
        <v>179</v>
      </c>
    </row>
    <row r="203" spans="1:1" x14ac:dyDescent="0.2">
      <c r="A203" s="5" t="s">
        <v>180</v>
      </c>
    </row>
    <row r="204" spans="1:1" x14ac:dyDescent="0.2">
      <c r="A204" s="5" t="s">
        <v>181</v>
      </c>
    </row>
    <row r="205" spans="1:1" x14ac:dyDescent="0.2">
      <c r="A205" s="5" t="s">
        <v>182</v>
      </c>
    </row>
    <row r="206" spans="1:1" x14ac:dyDescent="0.2">
      <c r="A206" s="5" t="s">
        <v>183</v>
      </c>
    </row>
    <row r="207" spans="1:1" x14ac:dyDescent="0.2">
      <c r="A207" s="5" t="s">
        <v>184</v>
      </c>
    </row>
    <row r="208" spans="1:1" x14ac:dyDescent="0.2">
      <c r="A208" s="5" t="s">
        <v>185</v>
      </c>
    </row>
    <row r="209" spans="1:1" x14ac:dyDescent="0.2">
      <c r="A209" s="5" t="s">
        <v>186</v>
      </c>
    </row>
    <row r="210" spans="1:1" x14ac:dyDescent="0.2">
      <c r="A210" s="5" t="s">
        <v>187</v>
      </c>
    </row>
    <row r="211" spans="1:1" x14ac:dyDescent="0.2">
      <c r="A211" s="5" t="s">
        <v>188</v>
      </c>
    </row>
    <row r="212" spans="1:1" x14ac:dyDescent="0.2">
      <c r="A212" s="5" t="s">
        <v>189</v>
      </c>
    </row>
    <row r="213" spans="1:1" x14ac:dyDescent="0.2">
      <c r="A213" s="5" t="s">
        <v>190</v>
      </c>
    </row>
    <row r="214" spans="1:1" x14ac:dyDescent="0.2">
      <c r="A214" s="5" t="s">
        <v>191</v>
      </c>
    </row>
    <row r="215" spans="1:1" x14ac:dyDescent="0.2">
      <c r="A215" s="5" t="s">
        <v>192</v>
      </c>
    </row>
    <row r="216" spans="1:1" x14ac:dyDescent="0.2">
      <c r="A216" s="5" t="s">
        <v>193</v>
      </c>
    </row>
    <row r="217" spans="1:1" x14ac:dyDescent="0.2">
      <c r="A217" s="5" t="s">
        <v>194</v>
      </c>
    </row>
    <row r="218" spans="1:1" x14ac:dyDescent="0.2">
      <c r="A218" s="5" t="s">
        <v>195</v>
      </c>
    </row>
    <row r="219" spans="1:1" x14ac:dyDescent="0.2">
      <c r="A219" s="5" t="s">
        <v>196</v>
      </c>
    </row>
    <row r="220" spans="1:1" x14ac:dyDescent="0.2">
      <c r="A220" s="5" t="s">
        <v>197</v>
      </c>
    </row>
    <row r="221" spans="1:1" x14ac:dyDescent="0.2">
      <c r="A221" s="5" t="s">
        <v>198</v>
      </c>
    </row>
    <row r="222" spans="1:1" x14ac:dyDescent="0.2">
      <c r="A222" s="5" t="s">
        <v>199</v>
      </c>
    </row>
    <row r="223" spans="1:1" x14ac:dyDescent="0.2">
      <c r="A223" s="5" t="s">
        <v>200</v>
      </c>
    </row>
    <row r="224" spans="1:1" x14ac:dyDescent="0.2">
      <c r="A224" s="5" t="s">
        <v>201</v>
      </c>
    </row>
    <row r="225" spans="1:1" x14ac:dyDescent="0.2">
      <c r="A225" s="5" t="s">
        <v>202</v>
      </c>
    </row>
    <row r="226" spans="1:1" x14ac:dyDescent="0.2">
      <c r="A226" s="5" t="s">
        <v>203</v>
      </c>
    </row>
    <row r="227" spans="1:1" x14ac:dyDescent="0.2">
      <c r="A227" s="5" t="s">
        <v>204</v>
      </c>
    </row>
    <row r="228" spans="1:1" x14ac:dyDescent="0.2">
      <c r="A228" s="5" t="s">
        <v>205</v>
      </c>
    </row>
    <row r="229" spans="1:1" x14ac:dyDescent="0.2">
      <c r="A229" s="5" t="s">
        <v>206</v>
      </c>
    </row>
    <row r="230" spans="1:1" x14ac:dyDescent="0.2">
      <c r="A230" s="5" t="s">
        <v>207</v>
      </c>
    </row>
    <row r="231" spans="1:1" x14ac:dyDescent="0.2">
      <c r="A231" s="5" t="s">
        <v>208</v>
      </c>
    </row>
    <row r="232" spans="1:1" x14ac:dyDescent="0.2">
      <c r="A232" s="5" t="s">
        <v>209</v>
      </c>
    </row>
    <row r="233" spans="1:1" x14ac:dyDescent="0.2">
      <c r="A233" s="5" t="s">
        <v>210</v>
      </c>
    </row>
    <row r="234" spans="1:1" x14ac:dyDescent="0.2">
      <c r="A234" s="5" t="s">
        <v>211</v>
      </c>
    </row>
    <row r="235" spans="1:1" x14ac:dyDescent="0.2">
      <c r="A235" s="5" t="s">
        <v>212</v>
      </c>
    </row>
    <row r="236" spans="1:1" x14ac:dyDescent="0.2">
      <c r="A236" s="5" t="s">
        <v>213</v>
      </c>
    </row>
    <row r="237" spans="1:1" x14ac:dyDescent="0.2">
      <c r="A237" s="5" t="s">
        <v>214</v>
      </c>
    </row>
    <row r="238" spans="1:1" x14ac:dyDescent="0.2">
      <c r="A238" s="5" t="s">
        <v>215</v>
      </c>
    </row>
    <row r="239" spans="1:1" x14ac:dyDescent="0.2">
      <c r="A239" s="5" t="s">
        <v>216</v>
      </c>
    </row>
    <row r="240" spans="1:1" x14ac:dyDescent="0.2">
      <c r="A240" s="5" t="s">
        <v>217</v>
      </c>
    </row>
    <row r="241" spans="1:1" x14ac:dyDescent="0.2">
      <c r="A241" s="5" t="s">
        <v>218</v>
      </c>
    </row>
    <row r="242" spans="1:1" x14ac:dyDescent="0.2">
      <c r="A242" s="5" t="s">
        <v>219</v>
      </c>
    </row>
    <row r="243" spans="1:1" x14ac:dyDescent="0.2">
      <c r="A243" s="5" t="s">
        <v>220</v>
      </c>
    </row>
    <row r="244" spans="1:1" x14ac:dyDescent="0.2">
      <c r="A244" s="5" t="s">
        <v>221</v>
      </c>
    </row>
    <row r="245" spans="1:1" x14ac:dyDescent="0.2">
      <c r="A245" s="5" t="s">
        <v>222</v>
      </c>
    </row>
    <row r="246" spans="1:1" x14ac:dyDescent="0.2">
      <c r="A246" s="5" t="s">
        <v>223</v>
      </c>
    </row>
    <row r="247" spans="1:1" x14ac:dyDescent="0.2">
      <c r="A247" s="5" t="s">
        <v>224</v>
      </c>
    </row>
    <row r="248" spans="1:1" x14ac:dyDescent="0.2">
      <c r="A248" s="5" t="s">
        <v>225</v>
      </c>
    </row>
    <row r="249" spans="1:1" x14ac:dyDescent="0.2">
      <c r="A249" s="5" t="s">
        <v>226</v>
      </c>
    </row>
    <row r="250" spans="1:1" x14ac:dyDescent="0.2">
      <c r="A250" s="5" t="s">
        <v>227</v>
      </c>
    </row>
    <row r="252" spans="1:1" x14ac:dyDescent="0.2">
      <c r="A252" s="5" t="s">
        <v>33</v>
      </c>
    </row>
    <row r="253" spans="1:1" x14ac:dyDescent="0.2">
      <c r="A253" s="5" t="s">
        <v>33</v>
      </c>
    </row>
    <row r="255" spans="1:1" x14ac:dyDescent="0.2">
      <c r="A255" s="5" t="s">
        <v>228</v>
      </c>
    </row>
    <row r="256" spans="1:1" x14ac:dyDescent="0.2">
      <c r="A256" s="5" t="s">
        <v>229</v>
      </c>
    </row>
    <row r="257" spans="1:1" x14ac:dyDescent="0.2">
      <c r="A257" s="5" t="s">
        <v>230</v>
      </c>
    </row>
    <row r="258" spans="1:1" x14ac:dyDescent="0.2">
      <c r="A258" s="5" t="s">
        <v>231</v>
      </c>
    </row>
    <row r="259" spans="1:1" x14ac:dyDescent="0.2">
      <c r="A259" s="5" t="s">
        <v>232</v>
      </c>
    </row>
    <row r="260" spans="1:1" x14ac:dyDescent="0.2">
      <c r="A260" s="5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C6CCEA-8BE9-40A2-BAE4-88361200454E}"/>
</file>

<file path=customXml/itemProps2.xml><?xml version="1.0" encoding="utf-8"?>
<ds:datastoreItem xmlns:ds="http://schemas.openxmlformats.org/officeDocument/2006/customXml" ds:itemID="{29D3B026-6885-4E4E-A5FC-A164169012F2}"/>
</file>

<file path=customXml/itemProps3.xml><?xml version="1.0" encoding="utf-8"?>
<ds:datastoreItem xmlns:ds="http://schemas.openxmlformats.org/officeDocument/2006/customXml" ds:itemID="{710F210E-4C29-4277-8B9A-22F31D2AB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stats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Biederman</dc:creator>
  <cp:lastModifiedBy>Michelle Biederman</cp:lastModifiedBy>
  <dcterms:created xsi:type="dcterms:W3CDTF">2025-05-05T17:36:27Z</dcterms:created>
  <dcterms:modified xsi:type="dcterms:W3CDTF">2025-10-21T16:54:10Z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